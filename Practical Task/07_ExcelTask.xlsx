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Product Codes Split" sheetId="1" r:id="rId4"/>
    <sheet state="visible" name="Customer Names Formatting" sheetId="2" r:id="rId5"/>
    <sheet state="visible" name="Website URL Split" sheetId="3" r:id="rId6"/>
    <sheet state="visible" name="Invoice IDs" sheetId="4" r:id="rId7"/>
    <sheet state="visible" name=" Phone Numbers Clean-up" sheetId="5" r:id="rId8"/>
  </sheets>
  <definedNames/>
  <calcPr/>
  <extLst>
    <ext uri="GoogleSheetsCustomDataVersion2">
      <go:sheetsCustomData xmlns:go="http://customooxmlschemas.google.com/" r:id="rId9" roundtripDataChecksum="+ZwTb0dsZTd588x4ogUp3RHiFr9QAlEpH25hnL2PmoA="/>
    </ext>
  </extLst>
</workbook>
</file>

<file path=xl/sharedStrings.xml><?xml version="1.0" encoding="utf-8"?>
<sst xmlns="http://schemas.openxmlformats.org/spreadsheetml/2006/main" count="44" uniqueCount="42">
  <si>
    <t>Product Code</t>
  </si>
  <si>
    <t>Category</t>
  </si>
  <si>
    <t>Product Number</t>
  </si>
  <si>
    <t>Country Code</t>
  </si>
  <si>
    <t>ELEC-1023-US</t>
  </si>
  <si>
    <t>FASH-2045-UK</t>
  </si>
  <si>
    <t>TOYS-3098-IN</t>
  </si>
  <si>
    <t>FOOD-4512-AU</t>
  </si>
  <si>
    <t>HOME-5679-US</t>
  </si>
  <si>
    <t>Customer Name</t>
  </si>
  <si>
    <t>Clean Name</t>
  </si>
  <si>
    <t>Upper Case</t>
  </si>
  <si>
    <t>Proper Case</t>
  </si>
  <si>
    <t xml:space="preserve">  john   DOE  </t>
  </si>
  <si>
    <t xml:space="preserve">  mary jane  </t>
  </si>
  <si>
    <t xml:space="preserve">  robert   smith</t>
  </si>
  <si>
    <t xml:space="preserve">  lisa   Ann</t>
  </si>
  <si>
    <t xml:space="preserve">  david  BROWN</t>
  </si>
  <si>
    <t>URL</t>
  </si>
  <si>
    <t>Domain Name</t>
  </si>
  <si>
    <t>Extension</t>
  </si>
  <si>
    <t>https://www.google.com</t>
  </si>
  <si>
    <t>https://www.amazon.in</t>
  </si>
  <si>
    <t>http://www.example.org</t>
  </si>
  <si>
    <t>https://www.wikipedia.org</t>
  </si>
  <si>
    <t>http://www.company.co.uk</t>
  </si>
  <si>
    <t>Invoice ID</t>
  </si>
  <si>
    <t>Prefix</t>
  </si>
  <si>
    <t>Number</t>
  </si>
  <si>
    <t>Suffix</t>
  </si>
  <si>
    <t>INV-202301-US</t>
  </si>
  <si>
    <t>INV-202302-UK</t>
  </si>
  <si>
    <t>INV-202303-IN</t>
  </si>
  <si>
    <t>INV-202304-AU</t>
  </si>
  <si>
    <t>INV-202305-US</t>
  </si>
  <si>
    <t>Raw Phone</t>
  </si>
  <si>
    <t>Clean Phone</t>
  </si>
  <si>
    <t>+1 987-654-3210</t>
  </si>
  <si>
    <t>+44 123-456-7890</t>
  </si>
  <si>
    <t>+91 98765-43210</t>
  </si>
  <si>
    <t>+61 412-345-678</t>
  </si>
  <si>
    <t>+49 151-234-5678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</si>
</sst>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4.0"/>
      <color theme="1"/>
      <name val="Calibri"/>
    </font>
    <font>
      <sz val="11.0"/>
      <color theme="1"/>
      <name val="Arial"/>
    </font>
    <font>
      <sz val="14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</fills>
  <borders count="10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0" fillId="0" fontId="2" numFmtId="0" xfId="0" applyFont="1"/>
    <xf borderId="1" fillId="2" fontId="3" numFmtId="0" xfId="0" applyAlignment="1" applyBorder="1" applyFont="1">
      <alignment horizontal="center"/>
    </xf>
    <xf borderId="2" fillId="2" fontId="3" numFmtId="0" xfId="0" applyAlignment="1" applyBorder="1" applyFont="1">
      <alignment horizontal="center"/>
    </xf>
    <xf borderId="3" fillId="2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4.71"/>
    <col customWidth="1" min="3" max="3" width="22.86"/>
    <col customWidth="1" min="4" max="4" width="19.57"/>
    <col customWidth="1" min="5" max="26" width="8.71"/>
  </cols>
  <sheetData>
    <row r="5">
      <c r="A5" s="1" t="s">
        <v>0</v>
      </c>
      <c r="B5" s="2" t="s">
        <v>1</v>
      </c>
      <c r="C5" s="2" t="s">
        <v>2</v>
      </c>
      <c r="D5" s="3" t="s">
        <v>3</v>
      </c>
    </row>
    <row r="6">
      <c r="A6" s="4" t="s">
        <v>4</v>
      </c>
      <c r="B6" s="5" t="str">
        <f>LEFT(' Product Codes Split'!$A6,FIND("-",' Product Codes Split'!$A6) -1)</f>
        <v>ELEC</v>
      </c>
      <c r="C6" s="5" t="str">
        <f>MID(' Product Codes Split'!$A6,FIND("-",' Product Codes Split'!$A6)+1,FIND("-",' Product Codes Split'!$A6,FIND("-",' Product Codes Split'!$A6)+1) - FIND("-",' Product Codes Split'!$A6)-1)</f>
        <v>1023</v>
      </c>
      <c r="D6" s="6" t="str">
        <f>RIGHT(TRIM(' Product Codes Split'!$A6),2)</f>
        <v>US</v>
      </c>
    </row>
    <row r="7">
      <c r="A7" s="4" t="s">
        <v>5</v>
      </c>
      <c r="B7" s="5" t="str">
        <f>LEFT(' Product Codes Split'!$A7,FIND("-",' Product Codes Split'!$A7) -1)</f>
        <v>FASH</v>
      </c>
      <c r="C7" s="5" t="str">
        <f>MID(' Product Codes Split'!$A7,FIND("-",' Product Codes Split'!$A7)+1,FIND("-",' Product Codes Split'!$A7,FIND("-",' Product Codes Split'!$A7)+1) - FIND("-",' Product Codes Split'!$A7)-1)</f>
        <v>2045</v>
      </c>
      <c r="D7" s="6" t="str">
        <f>RIGHT(TRIM(' Product Codes Split'!$A7),2)</f>
        <v>UK</v>
      </c>
    </row>
    <row r="8">
      <c r="A8" s="4" t="s">
        <v>6</v>
      </c>
      <c r="B8" s="5" t="str">
        <f>LEFT(' Product Codes Split'!$A8,FIND("-",' Product Codes Split'!$A8) -1)</f>
        <v>TOYS</v>
      </c>
      <c r="C8" s="5" t="str">
        <f>MID(' Product Codes Split'!$A8,FIND("-",' Product Codes Split'!$A8)+1,FIND("-",' Product Codes Split'!$A8,FIND("-",' Product Codes Split'!$A8)+1) - FIND("-",' Product Codes Split'!$A8)-1)</f>
        <v>3098</v>
      </c>
      <c r="D8" s="6" t="str">
        <f>RIGHT(TRIM(' Product Codes Split'!$A8),2)</f>
        <v>IN</v>
      </c>
    </row>
    <row r="9">
      <c r="A9" s="4" t="s">
        <v>7</v>
      </c>
      <c r="B9" s="5" t="str">
        <f>LEFT(' Product Codes Split'!$A9,FIND("-",' Product Codes Split'!$A9) -1)</f>
        <v>FOOD</v>
      </c>
      <c r="C9" s="5" t="str">
        <f>MID(' Product Codes Split'!$A9,FIND("-",' Product Codes Split'!$A9)+1,FIND("-",' Product Codes Split'!$A9,FIND("-",' Product Codes Split'!$A9)+1) - FIND("-",' Product Codes Split'!$A9)-1)</f>
        <v>4512</v>
      </c>
      <c r="D9" s="6" t="str">
        <f>RIGHT(TRIM(' Product Codes Split'!$A9),2)</f>
        <v>AU</v>
      </c>
    </row>
    <row r="10">
      <c r="A10" s="7" t="s">
        <v>8</v>
      </c>
      <c r="B10" s="8" t="str">
        <f>LEFT(' Product Codes Split'!$A10,FIND("-",' Product Codes Split'!$A10) -1)</f>
        <v>HOME</v>
      </c>
      <c r="C10" s="5" t="str">
        <f>MID(' Product Codes Split'!$A10,FIND("-",' Product Codes Split'!$A10)+1,FIND("-",' Product Codes Split'!$A10,FIND("-",' Product Codes Split'!$A10)+1) - FIND("-",' Product Codes Split'!$A10)-1)</f>
        <v>5679</v>
      </c>
      <c r="D10" s="9" t="str">
        <f>RIGHT(TRIM(' Product Codes Split'!$A10),2)</f>
        <v>US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9.71"/>
    <col customWidth="1" min="3" max="3" width="19.43"/>
    <col customWidth="1" min="4" max="4" width="20.29"/>
    <col customWidth="1" min="5" max="26" width="8.86"/>
  </cols>
  <sheetData>
    <row r="1" ht="14.2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11" t="s">
        <v>9</v>
      </c>
      <c r="B5" s="12" t="s">
        <v>10</v>
      </c>
      <c r="C5" s="12" t="s">
        <v>11</v>
      </c>
      <c r="D5" s="13" t="s">
        <v>12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4" t="s">
        <v>13</v>
      </c>
      <c r="B6" s="5" t="str">
        <f>TRIM('Customer Names Formatting'!$A6)</f>
        <v>john DOE</v>
      </c>
      <c r="C6" s="5" t="str">
        <f>TRIM(UPPER('Customer Names Formatting'!$A6))</f>
        <v>JOHN DOE</v>
      </c>
      <c r="D6" s="6" t="str">
        <f>PROPER(TRIM('Customer Names Formatting'!$A6))</f>
        <v>John Doe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4" t="s">
        <v>14</v>
      </c>
      <c r="B7" s="5" t="str">
        <f>TRIM('Customer Names Formatting'!$A7)</f>
        <v>mary jane</v>
      </c>
      <c r="C7" s="5" t="str">
        <f>TRIM(UPPER('Customer Names Formatting'!$A7))</f>
        <v>MARY JANE</v>
      </c>
      <c r="D7" s="6" t="str">
        <f>PROPER(TRIM('Customer Names Formatting'!$A7))</f>
        <v>Mary Jane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4" t="s">
        <v>15</v>
      </c>
      <c r="B8" s="5" t="str">
        <f>TRIM('Customer Names Formatting'!$A8)</f>
        <v>robert smith</v>
      </c>
      <c r="C8" s="5" t="str">
        <f>TRIM(UPPER('Customer Names Formatting'!$A8))</f>
        <v>ROBERT SMITH</v>
      </c>
      <c r="D8" s="6" t="str">
        <f>PROPER(TRIM('Customer Names Formatting'!$A8))</f>
        <v>Robert Smith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4" t="s">
        <v>16</v>
      </c>
      <c r="B9" s="5" t="str">
        <f>TRIM('Customer Names Formatting'!$A9)</f>
        <v>lisa Ann</v>
      </c>
      <c r="C9" s="5" t="str">
        <f>TRIM(UPPER('Customer Names Formatting'!$A9))</f>
        <v>LISA ANN</v>
      </c>
      <c r="D9" s="6" t="str">
        <f>PROPER(TRIM('Customer Names Formatting'!$A9))</f>
        <v>Lisa Ann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7" t="s">
        <v>17</v>
      </c>
      <c r="B10" s="8" t="str">
        <f>TRIM('Customer Names Formatting'!$A10)</f>
        <v>david BROWN</v>
      </c>
      <c r="C10" s="8" t="str">
        <f>TRIM(UPPER('Customer Names Formatting'!$A10))</f>
        <v>DAVID BROWN</v>
      </c>
      <c r="D10" s="9" t="str">
        <f>PROPER(TRIM('Customer Names Formatting'!$A10))</f>
        <v>David Brown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7.57"/>
    <col customWidth="1" min="3" max="3" width="12.29"/>
    <col customWidth="1" min="4" max="26" width="8.86"/>
  </cols>
  <sheetData>
    <row r="1" ht="14.2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14" t="s">
        <v>18</v>
      </c>
      <c r="B5" s="14" t="s">
        <v>19</v>
      </c>
      <c r="C5" s="14" t="s">
        <v>20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5" t="s">
        <v>21</v>
      </c>
      <c r="B6" s="5"/>
      <c r="C6" s="5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5" t="s">
        <v>22</v>
      </c>
      <c r="B7" s="5"/>
      <c r="C7" s="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5" t="s">
        <v>23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5" t="s">
        <v>24</v>
      </c>
      <c r="B9" s="5"/>
      <c r="C9" s="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5" t="s">
        <v>25</v>
      </c>
      <c r="B10" s="5"/>
      <c r="C10" s="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2.29"/>
    <col customWidth="1" min="3" max="3" width="14.57"/>
    <col customWidth="1" min="4" max="4" width="12.0"/>
    <col customWidth="1" min="5" max="26" width="8.86"/>
  </cols>
  <sheetData>
    <row r="1" ht="14.2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11" t="s">
        <v>26</v>
      </c>
      <c r="B5" s="12" t="s">
        <v>27</v>
      </c>
      <c r="C5" s="12" t="s">
        <v>28</v>
      </c>
      <c r="D5" s="13" t="s">
        <v>29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4" t="s">
        <v>30</v>
      </c>
      <c r="B6" s="5" t="str">
        <f>LEFT('Invoice IDs'!$A6,3)</f>
        <v>INV</v>
      </c>
      <c r="C6" s="5" t="str">
        <f>MID('Invoice IDs'!$A6,5,6)</f>
        <v>202301</v>
      </c>
      <c r="D6" s="6" t="str">
        <f>RIGHT('Invoice IDs'!$A6,2)</f>
        <v>US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4" t="s">
        <v>31</v>
      </c>
      <c r="B7" s="5" t="str">
        <f>LEFT('Invoice IDs'!$A7,3)</f>
        <v>INV</v>
      </c>
      <c r="C7" s="5" t="str">
        <f>MID('Invoice IDs'!$A7,5,6)</f>
        <v>202302</v>
      </c>
      <c r="D7" s="6" t="str">
        <f>RIGHT('Invoice IDs'!$A7,2)</f>
        <v>UK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4" t="s">
        <v>32</v>
      </c>
      <c r="B8" s="5" t="str">
        <f>LEFT('Invoice IDs'!$A8,3)</f>
        <v>INV</v>
      </c>
      <c r="C8" s="5" t="str">
        <f>MID('Invoice IDs'!$A8,5,6)</f>
        <v>202303</v>
      </c>
      <c r="D8" s="6" t="str">
        <f>RIGHT('Invoice IDs'!$A8,2)</f>
        <v>IN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4" t="s">
        <v>33</v>
      </c>
      <c r="B9" s="5" t="str">
        <f>LEFT('Invoice IDs'!$A9,3)</f>
        <v>INV</v>
      </c>
      <c r="C9" s="5" t="str">
        <f>MID('Invoice IDs'!$A9,5,6)</f>
        <v>202304</v>
      </c>
      <c r="D9" s="6" t="str">
        <f>RIGHT('Invoice IDs'!$A9,2)</f>
        <v>AU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7" t="s">
        <v>34</v>
      </c>
      <c r="B10" s="8" t="str">
        <f>LEFT('Invoice IDs'!$A10,3)</f>
        <v>INV</v>
      </c>
      <c r="C10" s="8" t="str">
        <f>MID('Invoice IDs'!$A10,5,6)</f>
        <v>202305</v>
      </c>
      <c r="D10" s="9" t="str">
        <f>RIGHT('Invoice IDs'!$A10,2)</f>
        <v>US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8.29"/>
    <col customWidth="1" min="3" max="3" width="19.57"/>
    <col customWidth="1" min="4" max="4" width="13.86"/>
    <col customWidth="1" min="5" max="26" width="8.71"/>
  </cols>
  <sheetData>
    <row r="5">
      <c r="A5" s="1" t="s">
        <v>35</v>
      </c>
      <c r="B5" s="2" t="s">
        <v>36</v>
      </c>
      <c r="C5" s="2" t="s">
        <v>3</v>
      </c>
      <c r="D5" s="3" t="s">
        <v>28</v>
      </c>
    </row>
    <row r="6">
      <c r="A6" s="15" t="s">
        <v>37</v>
      </c>
      <c r="B6" s="16" t="str">
        <f>SUBSTITUTE(SUBSTITUTE(TRIM(' Phone Numbers Clean-up'!$A6)," ",""),"-","")</f>
        <v>+19876543210</v>
      </c>
      <c r="C6" s="16" t="str">
        <f t="shared" ref="C6:C10" si="1">LEFT(A6,FIND(" ",A6)-1)</f>
        <v>+1</v>
      </c>
      <c r="D6" s="17" t="str">
        <f>SUBSTITUTE(MID(' Phone Numbers Clean-up'!$A6,FIND(" ",' Phone Numbers Clean-up'!$A6)+1,LEN(' Phone Numbers Clean-up'!$A6)),"-","")</f>
        <v>9876543210</v>
      </c>
    </row>
    <row r="7">
      <c r="A7" s="15" t="s">
        <v>38</v>
      </c>
      <c r="B7" s="16" t="str">
        <f>SUBSTITUTE(SUBSTITUTE(TRIM(' Phone Numbers Clean-up'!$A7)," ",""),"-","")</f>
        <v>+441234567890</v>
      </c>
      <c r="C7" s="16" t="str">
        <f t="shared" si="1"/>
        <v>+44</v>
      </c>
      <c r="D7" s="17" t="str">
        <f>SUBSTITUTE(MID(' Phone Numbers Clean-up'!$A7,FIND(" ",' Phone Numbers Clean-up'!$A7)+1,LEN(' Phone Numbers Clean-up'!$A7)),"-","")</f>
        <v>1234567890</v>
      </c>
    </row>
    <row r="8">
      <c r="A8" s="15" t="s">
        <v>39</v>
      </c>
      <c r="B8" s="16" t="str">
        <f>SUBSTITUTE(SUBSTITUTE(TRIM(' Phone Numbers Clean-up'!$A8)," ",""),"-","")</f>
        <v>+919876543210</v>
      </c>
      <c r="C8" s="16" t="str">
        <f t="shared" si="1"/>
        <v>+91</v>
      </c>
      <c r="D8" s="17" t="str">
        <f>SUBSTITUTE(MID(' Phone Numbers Clean-up'!$A8,FIND(" ",' Phone Numbers Clean-up'!$A8)+1,LEN(' Phone Numbers Clean-up'!$A8)),"-","")</f>
        <v>9876543210</v>
      </c>
    </row>
    <row r="9">
      <c r="A9" s="15" t="s">
        <v>40</v>
      </c>
      <c r="B9" s="16" t="str">
        <f>SUBSTITUTE(SUBSTITUTE(TRIM(' Phone Numbers Clean-up'!$A9)," ",""),"-","")</f>
        <v>+61412345678</v>
      </c>
      <c r="C9" s="16" t="str">
        <f t="shared" si="1"/>
        <v>+61</v>
      </c>
      <c r="D9" s="17" t="str">
        <f>SUBSTITUTE(MID(' Phone Numbers Clean-up'!$A9,FIND(" ",' Phone Numbers Clean-up'!$A9)+1,LEN(' Phone Numbers Clean-up'!$A9)),"-","")</f>
        <v>412345678</v>
      </c>
    </row>
    <row r="10">
      <c r="A10" s="18" t="s">
        <v>41</v>
      </c>
      <c r="B10" s="16" t="str">
        <f>SUBSTITUTE(SUBSTITUTE(TRIM(' Phone Numbers Clean-up'!$A10)," ",""),"-","")</f>
        <v>+491512345678</v>
      </c>
      <c r="C10" s="19" t="str">
        <f t="shared" si="1"/>
        <v>+49</v>
      </c>
      <c r="D10" s="20" t="str">
        <f>SUBSTITUTE(MID(' Phone Numbers Clean-up'!$A10,FIND(" ",' Phone Numbers Clean-up'!$A10)+1,LEN(' Phone Numbers Clean-up'!$A10)),"-","")</f>
        <v>1512345678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2026-01-31T06:38:38Z</dcterms:created>
  <dc:creator>Smit Thakar</dc:creator>
</cp:coreProperties>
</file>