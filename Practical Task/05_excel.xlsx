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Smit\Data_Analytics\Practical Task\"/>
    </mc:Choice>
  </mc:AlternateContent>
  <xr:revisionPtr revIDLastSave="0" documentId="13_ncr:1_{DAF1B52A-068C-4FD4-BC73-0881FFA49EB4}" xr6:coauthVersionLast="47" xr6:coauthVersionMax="47" xr10:uidLastSave="{00000000-0000-0000-0000-000000000000}"/>
  <bookViews>
    <workbookView xWindow="-120" yWindow="-120" windowWidth="29040" windowHeight="15720" firstSheet="5" activeTab="8" xr2:uid="{B7CA3347-B884-4512-82BB-7C62A0B069B5}"/>
  </bookViews>
  <sheets>
    <sheet name="Employee Sheet" sheetId="1" r:id="rId1"/>
    <sheet name="Sales Report" sheetId="2" r:id="rId2"/>
    <sheet name="Student Marks Sheet" sheetId="3" r:id="rId3"/>
    <sheet name="Sales Summary" sheetId="4" r:id="rId4"/>
    <sheet name="Department-wise Salary Analysis" sheetId="5" r:id="rId5"/>
    <sheet name=" Attendance Sheet – COUNTIF" sheetId="6" r:id="rId6"/>
    <sheet name="Sales Count Logic" sheetId="8" r:id="rId7"/>
    <sheet name="Conditional Formatting – Sales" sheetId="9" r:id="rId8"/>
    <sheet name="Student Result Highlight" sheetId="11" r:id="rId9"/>
    <sheet name="Salary Band – Conditional Form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8" l="1"/>
  <c r="N9" i="8"/>
  <c r="G9" i="6"/>
  <c r="H9" i="6" s="1"/>
  <c r="G8" i="6"/>
  <c r="H8" i="6" s="1"/>
  <c r="G7" i="6"/>
  <c r="H7" i="6" s="1"/>
  <c r="G6" i="6"/>
  <c r="H6" i="6" s="1"/>
  <c r="C22" i="5"/>
  <c r="C20" i="5"/>
  <c r="C18" i="5"/>
  <c r="C17" i="5"/>
  <c r="C16" i="5"/>
  <c r="D30" i="4"/>
  <c r="D29" i="4"/>
  <c r="D27" i="4"/>
  <c r="D25" i="4"/>
  <c r="G25" i="3"/>
  <c r="H25" i="3" s="1"/>
  <c r="H24" i="3"/>
  <c r="G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H15" i="3"/>
  <c r="G15" i="3"/>
  <c r="G14" i="3"/>
  <c r="H14" i="3" s="1"/>
  <c r="G13" i="3"/>
  <c r="H13" i="3" s="1"/>
  <c r="H12" i="3"/>
  <c r="G12" i="3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</calcChain>
</file>

<file path=xl/sharedStrings.xml><?xml version="1.0" encoding="utf-8"?>
<sst xmlns="http://schemas.openxmlformats.org/spreadsheetml/2006/main" count="303" uniqueCount="201">
  <si>
    <t>24/01/2026</t>
  </si>
  <si>
    <t>Task</t>
  </si>
  <si>
    <t>Format header row (Bold, Color)
Salary → Currency (₹)
Date → Date format
Apply borders and auto-fit columns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</si>
  <si>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</si>
  <si>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</si>
  <si>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</si>
  <si>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</si>
  <si>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</si>
  <si>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</si>
  <si>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</si>
  <si>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</si>
  <si>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</si>
  <si>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</si>
  <si>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</si>
  <si>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</si>
  <si>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</si>
  <si>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</si>
  <si>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</si>
  <si>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</si>
  <si>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</si>
  <si>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</si>
  <si>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</si>
  <si>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</si>
  <si>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Smit Thakar</t>
  </si>
  <si>
    <t>E107</t>
  </si>
  <si>
    <t>Darshan Sarvaiya</t>
  </si>
  <si>
    <t>E108</t>
  </si>
  <si>
    <t>Vaidik Limbachiya</t>
  </si>
  <si>
    <t>E109</t>
  </si>
  <si>
    <t xml:space="preserve">Dhairy gehlot </t>
  </si>
  <si>
    <t>E110</t>
  </si>
  <si>
    <t>Shivam Soni</t>
  </si>
  <si>
    <t>E111</t>
  </si>
  <si>
    <t>Om Thakkar</t>
  </si>
  <si>
    <t>E112</t>
  </si>
  <si>
    <t>Shivam Thakar</t>
  </si>
  <si>
    <t>E113</t>
  </si>
  <si>
    <t>Vishv Patel</t>
  </si>
  <si>
    <t>E114</t>
  </si>
  <si>
    <t xml:space="preserve">Nirmal Lohar </t>
  </si>
  <si>
    <t>E115</t>
  </si>
  <si>
    <t xml:space="preserve">Aashita Prajapati </t>
  </si>
  <si>
    <t>E116</t>
  </si>
  <si>
    <t xml:space="preserve">Bhavy Maniyar </t>
  </si>
  <si>
    <t>E117</t>
  </si>
  <si>
    <t>Drasti Pithva</t>
  </si>
  <si>
    <t>E118</t>
  </si>
  <si>
    <t>Yashvi Joshi</t>
  </si>
  <si>
    <t>E119</t>
  </si>
  <si>
    <t>Keyuri Patel</t>
  </si>
  <si>
    <t>E120</t>
  </si>
  <si>
    <t>Isha Makvana</t>
  </si>
  <si>
    <t>Task 2</t>
  </si>
  <si>
    <t>Monthly Sales Report</t>
  </si>
  <si>
    <t>Product Name</t>
  </si>
  <si>
    <t>Region</t>
  </si>
  <si>
    <t>Sales Amount</t>
  </si>
  <si>
    <t>Salesperson</t>
  </si>
  <si>
    <t>Add title Monthly Sales Report
Merge &amp; center title
Wrap text for product names
Currency format for sales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</si>
  <si>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</si>
  <si>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</si>
  <si>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</si>
  <si>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</si>
  <si>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</si>
  <si>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</si>
  <si>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</si>
  <si>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</si>
  <si>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</si>
  <si>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</si>
  <si>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</si>
  <si>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</si>
  <si>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</si>
  <si>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</si>
  <si>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</si>
  <si>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</si>
  <si>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Task 3 </t>
  </si>
  <si>
    <t xml:space="preserve">Student Marks Sheet </t>
  </si>
  <si>
    <t>Roll No</t>
  </si>
  <si>
    <t>Student Name</t>
  </si>
  <si>
    <t>Maths</t>
  </si>
  <si>
    <t>Science</t>
  </si>
  <si>
    <t>English</t>
  </si>
  <si>
    <t>Total</t>
  </si>
  <si>
    <t>Percentage</t>
  </si>
  <si>
    <t>Calculate Percentage
Format percentage column
Apply cell styles to headers</t>
  </si>
  <si>
    <t>Aakash</t>
  </si>
  <si>
    <t>Bhavya</t>
  </si>
  <si>
    <t>Chirag</t>
  </si>
  <si>
    <t>Divya</t>
  </si>
  <si>
    <t>Esha</t>
  </si>
  <si>
    <t>Smit</t>
  </si>
  <si>
    <t>Isha</t>
  </si>
  <si>
    <t>Darshan</t>
  </si>
  <si>
    <t>Vaidik</t>
  </si>
  <si>
    <t>Dhairy</t>
  </si>
  <si>
    <t>Jai</t>
  </si>
  <si>
    <t>Keyur</t>
  </si>
  <si>
    <t>Vishv</t>
  </si>
  <si>
    <t>Shivam</t>
  </si>
  <si>
    <t>Riddhi</t>
  </si>
  <si>
    <t>Yashvi</t>
  </si>
  <si>
    <t>Keyuri</t>
  </si>
  <si>
    <t>Drasti</t>
  </si>
  <si>
    <t>Meet</t>
  </si>
  <si>
    <t>Sumit</t>
  </si>
  <si>
    <t>Task 4</t>
  </si>
  <si>
    <t>Invoice No</t>
  </si>
  <si>
    <t>Date</t>
  </si>
  <si>
    <t>Calculate Total Sales
Find Average Sales
Identify Highest &amp; Lowest Sale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</si>
  <si>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</si>
  <si>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</si>
  <si>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</si>
  <si>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</si>
  <si>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</si>
  <si>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</si>
  <si>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</si>
  <si>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</si>
  <si>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</si>
  <si>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</si>
  <si>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</si>
  <si>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</si>
  <si>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</si>
  <si>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</si>
  <si>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</si>
  <si>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</si>
  <si>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</si>
  <si>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</si>
  <si>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</si>
  <si>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</si>
  <si>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</t>
  </si>
  <si>
    <t>AVG SALES</t>
  </si>
  <si>
    <t>Highest</t>
  </si>
  <si>
    <t>Lowest</t>
  </si>
  <si>
    <t>Employee Name</t>
  </si>
  <si>
    <t>Total salary per department
Average salary
Count employees</t>
  </si>
  <si>
    <t>Suresh</t>
  </si>
  <si>
    <t>Meena</t>
  </si>
  <si>
    <t>Karan</t>
  </si>
  <si>
    <t>Ritu</t>
  </si>
  <si>
    <t>Aman</t>
  </si>
  <si>
    <t>Neel</t>
  </si>
  <si>
    <t xml:space="preserve">Average Salary </t>
  </si>
  <si>
    <t>Count Employess</t>
  </si>
  <si>
    <t>Day 1</t>
  </si>
  <si>
    <t>Day 2</t>
  </si>
  <si>
    <t>Day 3</t>
  </si>
  <si>
    <t>Day 4</t>
  </si>
  <si>
    <t>Day 5</t>
  </si>
  <si>
    <t>Present</t>
  </si>
  <si>
    <t>Absent</t>
  </si>
  <si>
    <t>Count Present days
Count Absent days</t>
  </si>
  <si>
    <t>P</t>
  </si>
  <si>
    <t>A</t>
  </si>
  <si>
    <t>Count Present days</t>
  </si>
  <si>
    <t>Count Absent Days</t>
  </si>
  <si>
    <t>Order ID</t>
  </si>
  <si>
    <t>Count sales above 10000
Count sales below 5000</t>
  </si>
  <si>
    <t>O101</t>
  </si>
  <si>
    <t>O102</t>
  </si>
  <si>
    <t>O103</t>
  </si>
  <si>
    <t>O104</t>
  </si>
  <si>
    <t>Count Sales Above 10000</t>
  </si>
  <si>
    <t>O105</t>
  </si>
  <si>
    <t>O106</t>
  </si>
  <si>
    <t>O107</t>
  </si>
  <si>
    <t>Count Sales Below 5000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</si>
  <si>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</si>
  <si>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</si>
  <si>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</si>
  <si>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</si>
  <si>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</si>
  <si>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</si>
  <si>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</si>
  <si>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</si>
  <si>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</si>
  <si>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</si>
  <si>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</si>
  <si>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</si>
  <si>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</si>
  <si>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</si>
  <si>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</si>
  <si>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</si>
  <si>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Product</t>
  </si>
  <si>
    <t>Highlight sales &gt; 20000 (Green)
Highlight sales &lt; 5000 (Red)</t>
  </si>
  <si>
    <t>Mobile</t>
  </si>
  <si>
    <t>Headphones</t>
  </si>
  <si>
    <t>Laptop</t>
  </si>
  <si>
    <t>Keyboard</t>
  </si>
  <si>
    <t>Tablet</t>
  </si>
  <si>
    <t>Marks</t>
  </si>
  <si>
    <t>Marks ≥ 75 → Green
Marks &lt; 40 → Red</t>
  </si>
  <si>
    <t>Bharti</t>
  </si>
  <si>
    <t>Chetan</t>
  </si>
  <si>
    <t>Deepa</t>
  </si>
  <si>
    <t>Farhan</t>
  </si>
  <si>
    <t>≥ 50000 → Dark Green
30000–49999 → Yellow
&lt; 30000 → Light Red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</si>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</sst>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[$₹-4009]\ #,##0.00"/>
    <numFmt numFmtId="166" formatCode="[$₹-4009]\ 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Segoe UI"/>
      <family val="2"/>
    </font>
    <font>
      <sz val="14"/>
      <color theme="0"/>
      <name val="Segoe UI"/>
      <family val="2"/>
    </font>
    <font>
      <sz val="12"/>
      <color theme="0"/>
      <name val="Segoe UI"/>
      <family val="2"/>
    </font>
    <font>
      <sz val="12"/>
      <color rgb="FFF0F6FC"/>
      <name val="Segoe UI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4.9989318521683403E-2"/>
      <name val="Segoe UI"/>
      <family val="2"/>
    </font>
    <font>
      <b/>
      <sz val="12"/>
      <color theme="1" tint="4.9989318521683403E-2"/>
      <name val="Segoe UI"/>
      <family val="2"/>
    </font>
    <font>
      <b/>
      <sz val="16"/>
      <color theme="0"/>
      <name val="Segoe UI"/>
      <family val="2"/>
    </font>
    <font>
      <b/>
      <sz val="14"/>
      <color theme="1"/>
      <name val="Calibri"/>
      <family val="2"/>
      <scheme val="minor"/>
    </font>
    <font>
      <sz val="14"/>
      <color rgb="FFF0F6FC"/>
      <name val="Segoe UI"/>
      <family val="2"/>
    </font>
    <font>
      <sz val="14"/>
      <color theme="1"/>
      <name val="Calibri"/>
      <family val="2"/>
      <scheme val="minor"/>
    </font>
    <font>
      <sz val="16"/>
      <color rgb="FFF0F6FC"/>
      <name val="Segoe U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/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/>
      <diagonal/>
    </border>
    <border>
      <left style="medium">
        <color rgb="FF3D444D"/>
      </left>
      <right/>
      <top/>
      <bottom style="medium">
        <color rgb="FF3D444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64" fontId="4" fillId="3" borderId="4" xfId="0" applyNumberFormat="1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165" fontId="5" fillId="3" borderId="7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165" fontId="5" fillId="3" borderId="10" xfId="0" applyNumberFormat="1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65" fontId="9" fillId="3" borderId="3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2" fillId="0" borderId="0" xfId="0" applyFont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165" fontId="6" fillId="3" borderId="9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0" fontId="12" fillId="4" borderId="7" xfId="1" applyNumberFormat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10" fontId="12" fillId="4" borderId="10" xfId="1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 indent="1"/>
    </xf>
    <xf numFmtId="14" fontId="6" fillId="3" borderId="6" xfId="0" applyNumberFormat="1" applyFont="1" applyFill="1" applyBorder="1" applyAlignment="1">
      <alignment horizontal="center" vertical="center" wrapText="1"/>
    </xf>
    <xf numFmtId="165" fontId="6" fillId="3" borderId="7" xfId="0" applyNumberFormat="1" applyFont="1" applyFill="1" applyBorder="1" applyAlignment="1">
      <alignment horizontal="left" vertical="center" wrapText="1" indent="1"/>
    </xf>
    <xf numFmtId="0" fontId="6" fillId="3" borderId="8" xfId="0" applyFont="1" applyFill="1" applyBorder="1" applyAlignment="1">
      <alignment horizontal="left" vertical="center" wrapText="1" indent="1"/>
    </xf>
    <xf numFmtId="165" fontId="6" fillId="3" borderId="10" xfId="0" applyNumberFormat="1" applyFont="1" applyFill="1" applyBorder="1" applyAlignment="1">
      <alignment horizontal="left" vertical="center" wrapText="1" indent="1"/>
    </xf>
    <xf numFmtId="0" fontId="15" fillId="5" borderId="1" xfId="0" applyFont="1" applyFill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165" fontId="15" fillId="5" borderId="0" xfId="0" applyNumberFormat="1" applyFont="1" applyFill="1" applyAlignment="1">
      <alignment horizontal="center"/>
    </xf>
    <xf numFmtId="0" fontId="15" fillId="5" borderId="1" xfId="0" applyFont="1" applyFill="1" applyBorder="1"/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7" fillId="0" borderId="0" xfId="0" applyFont="1"/>
    <xf numFmtId="0" fontId="7" fillId="3" borderId="5" xfId="0" applyFont="1" applyFill="1" applyBorder="1" applyAlignment="1">
      <alignment horizontal="left" vertical="center" wrapText="1" indent="1"/>
    </xf>
    <xf numFmtId="0" fontId="7" fillId="3" borderId="6" xfId="0" applyFont="1" applyFill="1" applyBorder="1" applyAlignment="1">
      <alignment horizontal="left" vertical="center" wrapText="1" indent="1"/>
    </xf>
    <xf numFmtId="166" fontId="7" fillId="3" borderId="7" xfId="0" applyNumberFormat="1" applyFont="1" applyFill="1" applyBorder="1" applyAlignment="1">
      <alignment horizontal="left" vertical="center" wrapText="1" indent="1"/>
    </xf>
    <xf numFmtId="0" fontId="7" fillId="3" borderId="8" xfId="0" applyFont="1" applyFill="1" applyBorder="1" applyAlignment="1">
      <alignment horizontal="left" vertical="center" wrapText="1" indent="1"/>
    </xf>
    <xf numFmtId="0" fontId="7" fillId="3" borderId="9" xfId="0" applyFont="1" applyFill="1" applyBorder="1" applyAlignment="1">
      <alignment horizontal="left" vertical="center" wrapText="1" indent="1"/>
    </xf>
    <xf numFmtId="166" fontId="7" fillId="3" borderId="10" xfId="0" applyNumberFormat="1" applyFont="1" applyFill="1" applyBorder="1" applyAlignment="1">
      <alignment horizontal="left" vertical="center" wrapText="1" indent="1"/>
    </xf>
    <xf numFmtId="0" fontId="17" fillId="5" borderId="1" xfId="0" applyFont="1" applyFill="1" applyBorder="1"/>
    <xf numFmtId="165" fontId="17" fillId="5" borderId="1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3" fillId="3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166" formatCode="[$₹-4009]\ #,##0.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14" formatCode="0.00%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  <right style="medium">
          <color rgb="FF3D444D"/>
        </righ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thin">
          <color indexed="64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A0779-BBFA-4955-99A8-E0197A43B52B}" name="Table1" displayName="Table1" ref="B4:F24" totalsRowShown="0" headerRowDxfId="95" dataDxfId="93" headerRowBorderDxfId="94" tableBorderDxfId="92" totalsRowBorderDxfId="91">
  <autoFilter ref="B4:F24" xr:uid="{18DA0779-BBFA-4955-99A8-E0197A43B52B}"/>
  <tableColumns count="5">
    <tableColumn id="1" xr3:uid="{8A0FA5AF-F72E-4C5B-9840-F9FC9FD978B0}" name="Employee ID" dataDxfId="90"/>
    <tableColumn id="2" xr3:uid="{C66B1B6F-44CA-4E35-B4A3-C13DED973F50}" name="Name" dataDxfId="89"/>
    <tableColumn id="3" xr3:uid="{EFB23A70-98D8-4625-A5E1-BED0BE5CDEF8}" name="Department" dataDxfId="88"/>
    <tableColumn id="4" xr3:uid="{9FE7E964-5161-493A-8C0B-7EF47082BC4B}" name="Salary" dataDxfId="87"/>
    <tableColumn id="5" xr3:uid="{D5DA9CA6-F11B-4203-A797-7C2371C2B251}" name="Joining Date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799DC-556D-494B-A4FC-A68F6E63FA4D}" name="Table3" displayName="Table3" ref="B5:E25" totalsRowShown="0" headerRowDxfId="85" dataDxfId="83" headerRowBorderDxfId="84" tableBorderDxfId="82" totalsRowBorderDxfId="81">
  <autoFilter ref="B5:E25" xr:uid="{E3E799DC-556D-494B-A4FC-A68F6E63FA4D}"/>
  <tableColumns count="4">
    <tableColumn id="1" xr3:uid="{A1D4076B-4A58-46C7-915C-5692BA630990}" name="Product Name" dataDxfId="80"/>
    <tableColumn id="2" xr3:uid="{ED0AE24E-C408-486A-888B-BA05BF205350}" name="Region" dataDxfId="79"/>
    <tableColumn id="3" xr3:uid="{F7F8E50C-6311-42C6-9A08-DBC6BD163AC1}" name="Sales Amount" dataDxfId="78"/>
    <tableColumn id="4" xr3:uid="{A5AC8874-28EC-4C4F-A75D-D2014C276156}" name="Salesperson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53DBD1-4A33-4B9C-92AE-F134AF2B313C}" name="Table4" displayName="Table4" ref="B5:H25" totalsRowShown="0" headerRowDxfId="76" dataDxfId="74" headerRowBorderDxfId="75" tableBorderDxfId="73" totalsRowBorderDxfId="72">
  <autoFilter ref="B5:H25" xr:uid="{6353DBD1-4A33-4B9C-92AE-F134AF2B313C}"/>
  <tableColumns count="7">
    <tableColumn id="1" xr3:uid="{4EC9A07C-F784-4A83-9309-11072C7C5AE3}" name="Roll No" dataDxfId="71"/>
    <tableColumn id="2" xr3:uid="{15F09AEE-3456-4D81-B47B-6127A88797C6}" name="Student Name" dataDxfId="70"/>
    <tableColumn id="3" xr3:uid="{34333EFE-8F13-4A6D-8103-0AA3EC869EE2}" name="Maths" dataDxfId="69"/>
    <tableColumn id="4" xr3:uid="{D8E331F0-5913-4011-97C5-1938C3A26357}" name="Science" dataDxfId="68"/>
    <tableColumn id="5" xr3:uid="{25CDC323-B080-4A76-B351-E74D6581B90D}" name="English" dataDxfId="67"/>
    <tableColumn id="7" xr3:uid="{11831898-4099-489D-83C8-A0468D55B891}" name="Total" dataDxfId="66">
      <calculatedColumnFormula>SUM(Table4[[#This Row],[Maths]:[English]])</calculatedColumnFormula>
    </tableColumn>
    <tableColumn id="6" xr3:uid="{3B57DA99-2B54-40FD-A1F3-7ACCA58B86B3}" name="Percentage" dataDxfId="65" dataCellStyle="Percent">
      <calculatedColumnFormula>Table4[[#This Row],[Total]]/300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AE1E97-03ED-48D2-BBAA-A0EEF0591783}" name="Table5" displayName="Table5" ref="B3:D23" totalsRowShown="0" headerRowDxfId="64" dataDxfId="62" headerRowBorderDxfId="63" tableBorderDxfId="61" totalsRowBorderDxfId="60">
  <autoFilter ref="B3:D23" xr:uid="{41AE1E97-03ED-48D2-BBAA-A0EEF0591783}"/>
  <tableColumns count="3">
    <tableColumn id="1" xr3:uid="{DAD03252-6606-42B6-8164-B144BFD80995}" name="Invoice No" dataDxfId="59"/>
    <tableColumn id="2" xr3:uid="{1CADEC04-EA62-4A04-B5D1-5585CFEE53DD}" name="Date" dataDxfId="58"/>
    <tableColumn id="3" xr3:uid="{EDB55DE4-ED84-4FA0-9086-5964738F928A}" name="Sales Amount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014AC8-3939-4BA6-AAA7-55269CA3410C}" name="Table2" displayName="Table2" ref="A5:C11" totalsRowShown="0" headerRowDxfId="56" dataDxfId="54" headerRowBorderDxfId="55" tableBorderDxfId="53" totalsRowBorderDxfId="52">
  <autoFilter ref="A5:C11" xr:uid="{6B014AC8-3939-4BA6-AAA7-55269CA3410C}"/>
  <tableColumns count="3">
    <tableColumn id="1" xr3:uid="{575CD35B-FFB2-4634-956A-53C08A648F35}" name="Employee Name" dataDxfId="51"/>
    <tableColumn id="2" xr3:uid="{04B512B3-2899-41C1-832F-6FEED5F4B8ED}" name="Department" dataDxfId="50"/>
    <tableColumn id="3" xr3:uid="{6301DC54-CCAE-44A8-B415-9BA951C56F86}" name="Salary" dataDxfId="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466FEE-5CDF-43F9-B141-147938C8B764}" name="Table6" displayName="Table6" ref="A5:H9" totalsRowShown="0" headerRowDxfId="48" dataDxfId="46" headerRowBorderDxfId="47" tableBorderDxfId="45" totalsRowBorderDxfId="44">
  <autoFilter ref="A5:H9" xr:uid="{0D466FEE-5CDF-43F9-B141-147938C8B764}"/>
  <tableColumns count="8">
    <tableColumn id="1" xr3:uid="{C0690093-DC59-4EB4-A109-5665E4F9F0FE}" name="Student Name" dataDxfId="43"/>
    <tableColumn id="2" xr3:uid="{01B8014F-6EE1-4A38-8D58-7FA55C278CC7}" name="Day 1" dataDxfId="42"/>
    <tableColumn id="3" xr3:uid="{DA210618-1037-4133-BAA2-275358BB036D}" name="Day 2" dataDxfId="41"/>
    <tableColumn id="4" xr3:uid="{9B2B916C-C9C2-427C-AD15-82F7D1B8AB03}" name="Day 3" dataDxfId="40"/>
    <tableColumn id="5" xr3:uid="{99172070-DEDF-4B89-8554-876666226AF8}" name="Day 4" dataDxfId="39"/>
    <tableColumn id="6" xr3:uid="{D6EB0CE9-F3E2-405F-889F-1F96F9C3A678}" name="Day 5" dataDxfId="38"/>
    <tableColumn id="7" xr3:uid="{76D2CACB-1CE8-4FC8-8165-E645416F0051}" name="Present" dataDxfId="37">
      <calculatedColumnFormula>COUNTIF(Table6[[#This Row],[Day 1]:[Day 5]],Table6[[#This Row],[Day 1]])</calculatedColumnFormula>
    </tableColumn>
    <tableColumn id="8" xr3:uid="{65B1B56F-E957-4E46-9FBB-C3A46DF71181}" name="Absent" dataDxfId="36">
      <calculatedColumnFormula>COUNTIF(Table6[[#This Row],[Day 1]:[Present]],Table6[[#This Row],[Day 2]])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C93656-7CF0-4C37-8BB6-5DEF1E4B882B}" name="Table7" displayName="Table7" ref="A5:B28" totalsRowShown="0" headerRowDxfId="35" dataDxfId="33" headerRowBorderDxfId="34" tableBorderDxfId="32" totalsRowBorderDxfId="31">
  <autoFilter ref="A5:B28" xr:uid="{50C93656-7CF0-4C37-8BB6-5DEF1E4B882B}"/>
  <tableColumns count="2">
    <tableColumn id="1" xr3:uid="{E083B74E-2BBD-477E-826A-D77F6966A49B}" name="Order ID" dataDxfId="30"/>
    <tableColumn id="2" xr3:uid="{BF23E472-95EE-4987-9E06-8822DCEC289C}" name="Sales Amount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C50E4F-B9EF-47C5-91F3-0721515A91F2}" name="Table8" displayName="Table8" ref="A5:B10" totalsRowShown="0" headerRowDxfId="26" dataDxfId="24" headerRowBorderDxfId="25" tableBorderDxfId="23" totalsRowBorderDxfId="22">
  <autoFilter ref="A5:B10" xr:uid="{34C50E4F-B9EF-47C5-91F3-0721515A91F2}"/>
  <tableColumns count="2">
    <tableColumn id="1" xr3:uid="{2428ABD3-1A1A-44DF-8CED-1AEADAFD460B}" name="Product" dataDxfId="21"/>
    <tableColumn id="2" xr3:uid="{9A58930C-249A-4833-B37E-DB7380FE3BD1}" name="Sales Amount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48F21F-8F0D-4812-A796-63835204CE3D}" name="Table9" displayName="Table9" ref="A5:C10" totalsRowShown="0" headerRowDxfId="17" dataDxfId="15" headerRowBorderDxfId="16" tableBorderDxfId="14" totalsRowBorderDxfId="13">
  <autoFilter ref="A5:C10" xr:uid="{2648F21F-8F0D-4812-A796-63835204CE3D}"/>
  <tableColumns count="3">
    <tableColumn id="1" xr3:uid="{03F7173D-4837-4ADF-8522-CA7A13C37BEF}" name="Roll No" dataDxfId="12"/>
    <tableColumn id="2" xr3:uid="{08BB40C0-0DEA-42F0-AB7C-27762E038915}" name="Name" dataDxfId="11"/>
    <tableColumn id="3" xr3:uid="{91131B16-1ACB-4BEA-9EC5-207A1AB69C71}" name="Marks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E569B0-5193-4D98-AE11-AE12D7F6085B}" name="Table10" displayName="Table10" ref="A5:B10" totalsRowShown="0" headerRowDxfId="6" dataDxfId="4" headerRowBorderDxfId="5" tableBorderDxfId="3" totalsRowBorderDxfId="2">
  <autoFilter ref="A5:B10" xr:uid="{6DE569B0-5193-4D98-AE11-AE12D7F6085B}"/>
  <tableColumns count="2">
    <tableColumn id="1" xr3:uid="{46E193FB-CF97-4AF5-9CCB-771674F6C2F3}" name="Employee Name" dataDxfId="1"/>
    <tableColumn id="2" xr3:uid="{7171D8FE-54F3-48A0-A358-275EDEA26184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CA4F-FDCB-483C-915F-BFB8F934C6B7}">
  <dimension ref="B1:T24"/>
  <sheetViews>
    <sheetView workbookViewId="0">
      <selection activeCell="H12" sqref="H12"/>
    </sheetView>
  </sheetViews>
  <sheetFormatPr defaultRowHeight="15" x14ac:dyDescent="0.25"/>
  <cols>
    <col min="2" max="2" width="18.85546875" bestFit="1" customWidth="1"/>
    <col min="3" max="3" width="23.28515625" customWidth="1"/>
    <col min="4" max="4" width="20.7109375" bestFit="1" customWidth="1"/>
    <col min="5" max="5" width="18.42578125" customWidth="1"/>
    <col min="6" max="6" width="32" bestFit="1" customWidth="1"/>
  </cols>
  <sheetData>
    <row r="1" spans="2:20" ht="18.75" x14ac:dyDescent="0.3">
      <c r="B1" s="78" t="s">
        <v>0</v>
      </c>
      <c r="C1" s="78"/>
      <c r="D1" s="78"/>
      <c r="E1" s="78"/>
      <c r="F1" s="78"/>
      <c r="G1" s="78"/>
      <c r="H1" s="78"/>
      <c r="I1" s="78"/>
    </row>
    <row r="2" spans="2:20" ht="18.75" x14ac:dyDescent="0.3">
      <c r="B2" s="79" t="s">
        <v>1</v>
      </c>
      <c r="C2" s="79"/>
      <c r="D2" s="79"/>
      <c r="E2" s="79"/>
      <c r="F2" s="79"/>
      <c r="G2" s="79"/>
      <c r="H2" s="79"/>
      <c r="I2" s="79"/>
    </row>
    <row r="3" spans="2:20" x14ac:dyDescent="0.25">
      <c r="M3" s="80" t="s">
        <v>2</v>
      </c>
      <c r="N3" s="81"/>
      <c r="O3" s="81"/>
      <c r="P3" s="81"/>
      <c r="Q3" s="81"/>
      <c r="R3" s="81"/>
      <c r="S3" s="81"/>
      <c r="T3" s="81"/>
    </row>
    <row r="4" spans="2:20" ht="21" thickBot="1" x14ac:dyDescent="0.4">
      <c r="B4" s="1" t="s">
        <v>3</v>
      </c>
      <c r="C4" s="2" t="s">
        <v>4</v>
      </c>
      <c r="D4" s="2" t="s">
        <v>5</v>
      </c>
      <c r="E4" s="2" t="s">
        <v>6</v>
      </c>
      <c r="F4" s="3" t="s">
        <v>7</v>
      </c>
      <c r="M4" s="81"/>
      <c r="N4" s="81"/>
      <c r="O4" s="81"/>
      <c r="P4" s="81"/>
      <c r="Q4" s="81"/>
      <c r="R4" s="81"/>
      <c r="S4" s="81"/>
      <c r="T4" s="81"/>
    </row>
    <row r="5" spans="2:20" ht="21" thickBot="1" x14ac:dyDescent="0.4">
      <c r="B5" s="4" t="s">
        <v>8</v>
      </c>
      <c r="C5" s="5" t="s">
        <v>9</v>
      </c>
      <c r="D5" s="5" t="s">
        <v>10</v>
      </c>
      <c r="E5" s="6">
        <v>32000</v>
      </c>
      <c r="F5" s="7">
        <v>44573</v>
      </c>
      <c r="M5" s="81"/>
      <c r="N5" s="81"/>
      <c r="O5" s="81"/>
      <c r="P5" s="81"/>
      <c r="Q5" s="81"/>
      <c r="R5" s="81"/>
      <c r="S5" s="81"/>
      <c r="T5" s="81"/>
    </row>
    <row r="6" spans="2:20" ht="21" thickBot="1" x14ac:dyDescent="0.4">
      <c r="B6" s="4" t="s">
        <v>11</v>
      </c>
      <c r="C6" s="5" t="s">
        <v>12</v>
      </c>
      <c r="D6" s="5" t="s">
        <v>13</v>
      </c>
      <c r="E6" s="6">
        <v>45000</v>
      </c>
      <c r="F6" s="8">
        <v>44260</v>
      </c>
      <c r="M6" s="81"/>
      <c r="N6" s="81"/>
      <c r="O6" s="81"/>
      <c r="P6" s="81"/>
      <c r="Q6" s="81"/>
      <c r="R6" s="81"/>
      <c r="S6" s="81"/>
      <c r="T6" s="81"/>
    </row>
    <row r="7" spans="2:20" ht="21" thickBot="1" x14ac:dyDescent="0.4">
      <c r="B7" s="4" t="s">
        <v>14</v>
      </c>
      <c r="C7" s="5" t="s">
        <v>15</v>
      </c>
      <c r="D7" s="5" t="s">
        <v>16</v>
      </c>
      <c r="E7" s="6">
        <v>38000</v>
      </c>
      <c r="F7" s="8">
        <v>44030</v>
      </c>
      <c r="M7" s="81"/>
      <c r="N7" s="81"/>
      <c r="O7" s="81"/>
      <c r="P7" s="81"/>
      <c r="Q7" s="81"/>
      <c r="R7" s="81"/>
      <c r="S7" s="81"/>
      <c r="T7" s="81"/>
    </row>
    <row r="8" spans="2:20" ht="21" thickBot="1" x14ac:dyDescent="0.4">
      <c r="B8" s="4" t="s">
        <v>17</v>
      </c>
      <c r="C8" s="5" t="s">
        <v>18</v>
      </c>
      <c r="D8" s="5" t="s">
        <v>13</v>
      </c>
      <c r="E8" s="6">
        <v>52000</v>
      </c>
      <c r="F8" s="8">
        <v>43779</v>
      </c>
      <c r="M8" s="81"/>
      <c r="N8" s="81"/>
      <c r="O8" s="81"/>
      <c r="P8" s="81"/>
      <c r="Q8" s="81"/>
      <c r="R8" s="81"/>
      <c r="S8" s="81"/>
      <c r="T8" s="81"/>
    </row>
    <row r="9" spans="2:20" ht="21" thickBot="1" x14ac:dyDescent="0.4">
      <c r="B9" s="9" t="s">
        <v>19</v>
      </c>
      <c r="C9" s="10" t="s">
        <v>20</v>
      </c>
      <c r="D9" s="10" t="s">
        <v>21</v>
      </c>
      <c r="E9" s="11">
        <v>30000</v>
      </c>
      <c r="F9" s="8">
        <v>45102</v>
      </c>
      <c r="M9" s="81"/>
      <c r="N9" s="81"/>
      <c r="O9" s="81"/>
      <c r="P9" s="81"/>
      <c r="Q9" s="81"/>
      <c r="R9" s="81"/>
      <c r="S9" s="81"/>
      <c r="T9" s="81"/>
    </row>
    <row r="10" spans="2:20" ht="21" thickBot="1" x14ac:dyDescent="0.4">
      <c r="B10" s="9" t="s">
        <v>22</v>
      </c>
      <c r="C10" s="5" t="s">
        <v>23</v>
      </c>
      <c r="D10" s="5" t="s">
        <v>13</v>
      </c>
      <c r="E10" s="6">
        <v>50000</v>
      </c>
      <c r="F10" s="7">
        <v>43565</v>
      </c>
    </row>
    <row r="11" spans="2:20" ht="21" thickBot="1" x14ac:dyDescent="0.4">
      <c r="B11" s="9" t="s">
        <v>24</v>
      </c>
      <c r="C11" s="5" t="s">
        <v>25</v>
      </c>
      <c r="D11" s="5" t="s">
        <v>13</v>
      </c>
      <c r="E11" s="6">
        <v>75000</v>
      </c>
      <c r="F11" s="8">
        <v>43254</v>
      </c>
    </row>
    <row r="12" spans="2:20" ht="41.25" thickBot="1" x14ac:dyDescent="0.4">
      <c r="B12" s="9" t="s">
        <v>26</v>
      </c>
      <c r="C12" s="5" t="s">
        <v>27</v>
      </c>
      <c r="D12" s="5" t="s">
        <v>13</v>
      </c>
      <c r="E12" s="6">
        <v>60000</v>
      </c>
      <c r="F12" s="8">
        <v>44395</v>
      </c>
    </row>
    <row r="13" spans="2:20" ht="21" thickBot="1" x14ac:dyDescent="0.4">
      <c r="B13" s="9" t="s">
        <v>28</v>
      </c>
      <c r="C13" s="5" t="s">
        <v>29</v>
      </c>
      <c r="D13" s="5" t="s">
        <v>21</v>
      </c>
      <c r="E13" s="6">
        <v>25000</v>
      </c>
      <c r="F13" s="8">
        <v>43809</v>
      </c>
    </row>
    <row r="14" spans="2:20" ht="21" thickBot="1" x14ac:dyDescent="0.4">
      <c r="B14" s="9" t="s">
        <v>30</v>
      </c>
      <c r="C14" s="5" t="s">
        <v>31</v>
      </c>
      <c r="D14" s="5" t="s">
        <v>16</v>
      </c>
      <c r="E14" s="6">
        <v>30000</v>
      </c>
      <c r="F14" s="8">
        <v>45468</v>
      </c>
    </row>
    <row r="15" spans="2:20" ht="21" thickBot="1" x14ac:dyDescent="0.4">
      <c r="B15" s="9" t="s">
        <v>32</v>
      </c>
      <c r="C15" s="5" t="s">
        <v>33</v>
      </c>
      <c r="D15" s="5" t="s">
        <v>21</v>
      </c>
      <c r="E15" s="6">
        <v>28000</v>
      </c>
      <c r="F15" s="7">
        <v>42529</v>
      </c>
    </row>
    <row r="16" spans="2:20" ht="21" thickBot="1" x14ac:dyDescent="0.4">
      <c r="B16" s="9" t="s">
        <v>34</v>
      </c>
      <c r="C16" s="5" t="s">
        <v>35</v>
      </c>
      <c r="D16" s="5" t="s">
        <v>13</v>
      </c>
      <c r="E16" s="6">
        <v>35000</v>
      </c>
      <c r="F16" s="8">
        <v>42186</v>
      </c>
    </row>
    <row r="17" spans="2:6" ht="21" thickBot="1" x14ac:dyDescent="0.4">
      <c r="B17" s="9" t="s">
        <v>36</v>
      </c>
      <c r="C17" s="5" t="s">
        <v>37</v>
      </c>
      <c r="D17" s="5" t="s">
        <v>21</v>
      </c>
      <c r="E17" s="6">
        <v>40000</v>
      </c>
      <c r="F17" s="8">
        <v>44760</v>
      </c>
    </row>
    <row r="18" spans="2:6" ht="21" thickBot="1" x14ac:dyDescent="0.4">
      <c r="B18" s="9" t="s">
        <v>38</v>
      </c>
      <c r="C18" s="5" t="s">
        <v>39</v>
      </c>
      <c r="D18" s="5" t="s">
        <v>10</v>
      </c>
      <c r="E18" s="6">
        <v>60000</v>
      </c>
      <c r="F18" s="8">
        <v>43751</v>
      </c>
    </row>
    <row r="19" spans="2:6" ht="21" thickBot="1" x14ac:dyDescent="0.4">
      <c r="B19" s="9" t="s">
        <v>40</v>
      </c>
      <c r="C19" s="5" t="s">
        <v>41</v>
      </c>
      <c r="D19" s="5" t="s">
        <v>10</v>
      </c>
      <c r="E19" s="6">
        <v>35000</v>
      </c>
      <c r="F19" s="8">
        <v>45833</v>
      </c>
    </row>
    <row r="20" spans="2:6" ht="21" thickBot="1" x14ac:dyDescent="0.4">
      <c r="B20" s="9" t="s">
        <v>42</v>
      </c>
      <c r="C20" s="5" t="s">
        <v>43</v>
      </c>
      <c r="D20" s="5" t="s">
        <v>21</v>
      </c>
      <c r="E20" s="6">
        <v>15000</v>
      </c>
      <c r="F20" s="7">
        <v>41523</v>
      </c>
    </row>
    <row r="21" spans="2:6" ht="21" thickBot="1" x14ac:dyDescent="0.4">
      <c r="B21" s="9" t="s">
        <v>44</v>
      </c>
      <c r="C21" s="5" t="s">
        <v>45</v>
      </c>
      <c r="D21" s="5" t="s">
        <v>10</v>
      </c>
      <c r="E21" s="6">
        <v>25000</v>
      </c>
      <c r="F21" s="8">
        <v>40827</v>
      </c>
    </row>
    <row r="22" spans="2:6" ht="21" thickBot="1" x14ac:dyDescent="0.4">
      <c r="B22" s="9" t="s">
        <v>46</v>
      </c>
      <c r="C22" s="5" t="s">
        <v>47</v>
      </c>
      <c r="D22" s="5" t="s">
        <v>13</v>
      </c>
      <c r="E22" s="6">
        <v>45000</v>
      </c>
      <c r="F22" s="8">
        <v>45125</v>
      </c>
    </row>
    <row r="23" spans="2:6" ht="21" thickBot="1" x14ac:dyDescent="0.4">
      <c r="B23" s="9" t="s">
        <v>48</v>
      </c>
      <c r="C23" s="5" t="s">
        <v>49</v>
      </c>
      <c r="D23" s="5" t="s">
        <v>13</v>
      </c>
      <c r="E23" s="6">
        <v>55000</v>
      </c>
      <c r="F23" s="8">
        <v>43752</v>
      </c>
    </row>
    <row r="24" spans="2:6" ht="21" thickBot="1" x14ac:dyDescent="0.4">
      <c r="B24" s="9" t="s">
        <v>50</v>
      </c>
      <c r="C24" s="5" t="s">
        <v>51</v>
      </c>
      <c r="D24" s="5" t="s">
        <v>10</v>
      </c>
      <c r="E24" s="6">
        <v>38000</v>
      </c>
      <c r="F24" s="8">
        <v>46198</v>
      </c>
    </row>
  </sheetData>
  <mergeCells count="3">
    <mergeCell ref="B1:I1"/>
    <mergeCell ref="B2:I2"/>
    <mergeCell ref="M3:T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D7EE-6441-413F-B71A-76A2E52BBD96}">
  <dimension ref="B1:U25"/>
  <sheetViews>
    <sheetView workbookViewId="0">
      <selection sqref="A1:XFD1048576"/>
    </sheetView>
  </sheetViews>
  <sheetFormatPr defaultRowHeight="15" x14ac:dyDescent="0.25"/>
  <cols>
    <col min="2" max="2" width="32" bestFit="1" customWidth="1"/>
    <col min="3" max="3" width="13.5703125" bestFit="1" customWidth="1"/>
    <col min="4" max="4" width="21" bestFit="1" customWidth="1"/>
    <col min="5" max="5" width="19" bestFit="1" customWidth="1"/>
  </cols>
  <sheetData>
    <row r="1" spans="2:21" ht="18.75" x14ac:dyDescent="0.3">
      <c r="B1" s="82" t="s">
        <v>52</v>
      </c>
      <c r="C1" s="82"/>
      <c r="D1" s="82"/>
      <c r="E1" s="82"/>
      <c r="F1" s="82"/>
    </row>
    <row r="3" spans="2:21" ht="21" x14ac:dyDescent="0.35">
      <c r="B3" s="83" t="s">
        <v>53</v>
      </c>
      <c r="C3" s="83"/>
      <c r="D3" s="83"/>
      <c r="E3" s="83"/>
    </row>
    <row r="5" spans="2:21" s="16" customFormat="1" ht="18" thickBot="1" x14ac:dyDescent="0.3">
      <c r="B5" s="12" t="s">
        <v>54</v>
      </c>
      <c r="C5" s="13" t="s">
        <v>55</v>
      </c>
      <c r="D5" s="14" t="s">
        <v>56</v>
      </c>
      <c r="E5" s="15" t="s">
        <v>57</v>
      </c>
      <c r="O5" s="84" t="s">
        <v>58</v>
      </c>
      <c r="P5" s="85"/>
      <c r="Q5" s="85"/>
      <c r="R5" s="85"/>
      <c r="S5" s="85"/>
      <c r="T5" s="85"/>
      <c r="U5" s="85"/>
    </row>
    <row r="6" spans="2:21" ht="18" thickBot="1" x14ac:dyDescent="0.3">
      <c r="B6" s="17" t="s">
        <v>59</v>
      </c>
      <c r="C6" s="18" t="s">
        <v>60</v>
      </c>
      <c r="D6" s="19">
        <v>45000</v>
      </c>
      <c r="E6" s="20" t="s">
        <v>61</v>
      </c>
      <c r="O6" s="85"/>
      <c r="P6" s="85"/>
      <c r="Q6" s="85"/>
      <c r="R6" s="85"/>
      <c r="S6" s="85"/>
      <c r="T6" s="85"/>
      <c r="U6" s="85"/>
    </row>
    <row r="7" spans="2:21" ht="18" thickBot="1" x14ac:dyDescent="0.3">
      <c r="B7" s="17" t="s">
        <v>62</v>
      </c>
      <c r="C7" s="18" t="s">
        <v>63</v>
      </c>
      <c r="D7" s="19">
        <v>1200</v>
      </c>
      <c r="E7" s="20" t="s">
        <v>64</v>
      </c>
      <c r="O7" s="85"/>
      <c r="P7" s="85"/>
      <c r="Q7" s="85"/>
      <c r="R7" s="85"/>
      <c r="S7" s="85"/>
      <c r="T7" s="85"/>
      <c r="U7" s="85"/>
    </row>
    <row r="8" spans="2:21" ht="18" thickBot="1" x14ac:dyDescent="0.3">
      <c r="B8" s="17" t="s">
        <v>65</v>
      </c>
      <c r="C8" s="18" t="s">
        <v>66</v>
      </c>
      <c r="D8" s="19">
        <v>18000</v>
      </c>
      <c r="E8" s="20" t="s">
        <v>67</v>
      </c>
      <c r="O8" s="85"/>
      <c r="P8" s="85"/>
      <c r="Q8" s="85"/>
      <c r="R8" s="85"/>
      <c r="S8" s="85"/>
      <c r="T8" s="85"/>
      <c r="U8" s="85"/>
    </row>
    <row r="9" spans="2:21" ht="18" thickBot="1" x14ac:dyDescent="0.3">
      <c r="B9" s="21" t="s">
        <v>68</v>
      </c>
      <c r="C9" s="22" t="s">
        <v>69</v>
      </c>
      <c r="D9" s="23">
        <v>62000</v>
      </c>
      <c r="E9" s="24" t="s">
        <v>70</v>
      </c>
    </row>
    <row r="10" spans="2:21" ht="18" thickBot="1" x14ac:dyDescent="0.3">
      <c r="B10" s="17" t="s">
        <v>71</v>
      </c>
      <c r="C10" s="18" t="s">
        <v>60</v>
      </c>
      <c r="D10" s="19">
        <v>48500</v>
      </c>
      <c r="E10" s="20" t="s">
        <v>61</v>
      </c>
    </row>
    <row r="11" spans="2:21" ht="18" thickBot="1" x14ac:dyDescent="0.3">
      <c r="B11" s="17" t="s">
        <v>62</v>
      </c>
      <c r="C11" s="18" t="s">
        <v>63</v>
      </c>
      <c r="D11" s="19">
        <v>55280</v>
      </c>
      <c r="E11" s="20" t="s">
        <v>64</v>
      </c>
    </row>
    <row r="12" spans="2:21" ht="18" thickBot="1" x14ac:dyDescent="0.3">
      <c r="B12" s="17" t="s">
        <v>65</v>
      </c>
      <c r="C12" s="18" t="s">
        <v>66</v>
      </c>
      <c r="D12" s="19">
        <v>62060</v>
      </c>
      <c r="E12" s="20" t="s">
        <v>67</v>
      </c>
    </row>
    <row r="13" spans="2:21" ht="18" thickBot="1" x14ac:dyDescent="0.3">
      <c r="B13" s="21" t="s">
        <v>68</v>
      </c>
      <c r="C13" s="22" t="s">
        <v>69</v>
      </c>
      <c r="D13" s="23">
        <v>68840</v>
      </c>
      <c r="E13" s="24" t="s">
        <v>70</v>
      </c>
    </row>
    <row r="14" spans="2:21" ht="18" thickBot="1" x14ac:dyDescent="0.3">
      <c r="B14" s="17" t="s">
        <v>72</v>
      </c>
      <c r="C14" s="18" t="s">
        <v>60</v>
      </c>
      <c r="D14" s="19">
        <v>75620</v>
      </c>
      <c r="E14" s="20" t="s">
        <v>61</v>
      </c>
    </row>
    <row r="15" spans="2:21" ht="18" thickBot="1" x14ac:dyDescent="0.3">
      <c r="B15" s="17" t="s">
        <v>62</v>
      </c>
      <c r="C15" s="18" t="s">
        <v>63</v>
      </c>
      <c r="D15" s="19">
        <v>82400</v>
      </c>
      <c r="E15" s="20" t="s">
        <v>64</v>
      </c>
    </row>
    <row r="16" spans="2:21" ht="18" thickBot="1" x14ac:dyDescent="0.3">
      <c r="B16" s="17" t="s">
        <v>65</v>
      </c>
      <c r="C16" s="18" t="s">
        <v>66</v>
      </c>
      <c r="D16" s="19">
        <v>89180</v>
      </c>
      <c r="E16" s="20" t="s">
        <v>67</v>
      </c>
    </row>
    <row r="17" spans="2:5" ht="18" thickBot="1" x14ac:dyDescent="0.3">
      <c r="B17" s="21" t="s">
        <v>68</v>
      </c>
      <c r="C17" s="22" t="s">
        <v>69</v>
      </c>
      <c r="D17" s="23">
        <v>95960</v>
      </c>
      <c r="E17" s="24" t="s">
        <v>70</v>
      </c>
    </row>
    <row r="18" spans="2:5" ht="18" thickBot="1" x14ac:dyDescent="0.3">
      <c r="B18" s="17" t="s">
        <v>73</v>
      </c>
      <c r="C18" s="18" t="s">
        <v>60</v>
      </c>
      <c r="D18" s="19">
        <v>102740</v>
      </c>
      <c r="E18" s="20" t="s">
        <v>61</v>
      </c>
    </row>
    <row r="19" spans="2:5" ht="18" thickBot="1" x14ac:dyDescent="0.3">
      <c r="B19" s="17" t="s">
        <v>62</v>
      </c>
      <c r="C19" s="18" t="s">
        <v>63</v>
      </c>
      <c r="D19" s="19">
        <v>109520</v>
      </c>
      <c r="E19" s="20" t="s">
        <v>64</v>
      </c>
    </row>
    <row r="20" spans="2:5" ht="18" thickBot="1" x14ac:dyDescent="0.3">
      <c r="B20" s="17" t="s">
        <v>65</v>
      </c>
      <c r="C20" s="18" t="s">
        <v>66</v>
      </c>
      <c r="D20" s="19">
        <v>116300</v>
      </c>
      <c r="E20" s="20" t="s">
        <v>67</v>
      </c>
    </row>
    <row r="21" spans="2:5" ht="18" thickBot="1" x14ac:dyDescent="0.3">
      <c r="B21" s="21" t="s">
        <v>68</v>
      </c>
      <c r="C21" s="22" t="s">
        <v>69</v>
      </c>
      <c r="D21" s="23">
        <v>123080</v>
      </c>
      <c r="E21" s="24" t="s">
        <v>70</v>
      </c>
    </row>
    <row r="22" spans="2:5" ht="18" thickBot="1" x14ac:dyDescent="0.3">
      <c r="B22" s="17" t="s">
        <v>74</v>
      </c>
      <c r="C22" s="18" t="s">
        <v>60</v>
      </c>
      <c r="D22" s="19">
        <v>129860</v>
      </c>
      <c r="E22" s="20" t="s">
        <v>61</v>
      </c>
    </row>
    <row r="23" spans="2:5" ht="18" thickBot="1" x14ac:dyDescent="0.3">
      <c r="B23" s="17" t="s">
        <v>62</v>
      </c>
      <c r="C23" s="18" t="s">
        <v>63</v>
      </c>
      <c r="D23" s="19">
        <v>136640</v>
      </c>
      <c r="E23" s="20" t="s">
        <v>64</v>
      </c>
    </row>
    <row r="24" spans="2:5" ht="18" thickBot="1" x14ac:dyDescent="0.3">
      <c r="B24" s="17" t="s">
        <v>65</v>
      </c>
      <c r="C24" s="18" t="s">
        <v>66</v>
      </c>
      <c r="D24" s="19">
        <v>143420</v>
      </c>
      <c r="E24" s="20" t="s">
        <v>67</v>
      </c>
    </row>
    <row r="25" spans="2:5" ht="17.25" x14ac:dyDescent="0.25">
      <c r="B25" s="21" t="s">
        <v>68</v>
      </c>
      <c r="C25" s="22" t="s">
        <v>69</v>
      </c>
      <c r="D25" s="23">
        <v>150200</v>
      </c>
      <c r="E25" s="24" t="s">
        <v>70</v>
      </c>
    </row>
  </sheetData>
  <mergeCells count="3">
    <mergeCell ref="B1:F1"/>
    <mergeCell ref="B3:E3"/>
    <mergeCell ref="O5:U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D8EC-0B6F-4D13-8632-44BE8C6B52BF}">
  <dimension ref="B1:R25"/>
  <sheetViews>
    <sheetView workbookViewId="0">
      <selection activeCell="K20" sqref="K20"/>
    </sheetView>
  </sheetViews>
  <sheetFormatPr defaultRowHeight="15" x14ac:dyDescent="0.25"/>
  <cols>
    <col min="2" max="2" width="14.28515625" bestFit="1" customWidth="1"/>
    <col min="3" max="3" width="22.140625" bestFit="1" customWidth="1"/>
    <col min="4" max="4" width="12.7109375" bestFit="1" customWidth="1"/>
    <col min="5" max="5" width="14.28515625" bestFit="1" customWidth="1"/>
    <col min="6" max="6" width="14" bestFit="1" customWidth="1"/>
    <col min="7" max="7" width="11.42578125" bestFit="1" customWidth="1"/>
    <col min="8" max="8" width="17" bestFit="1" customWidth="1"/>
  </cols>
  <sheetData>
    <row r="1" spans="2:18" ht="21" x14ac:dyDescent="0.35">
      <c r="B1" s="86" t="s">
        <v>75</v>
      </c>
      <c r="C1" s="86"/>
      <c r="D1" s="86"/>
      <c r="E1" s="86"/>
      <c r="F1" s="86"/>
      <c r="G1" s="86"/>
    </row>
    <row r="3" spans="2:18" ht="18.75" x14ac:dyDescent="0.3">
      <c r="B3" s="87" t="s">
        <v>76</v>
      </c>
      <c r="C3" s="88"/>
      <c r="D3" s="88"/>
      <c r="E3" s="88"/>
      <c r="F3" s="88"/>
      <c r="G3" s="88"/>
      <c r="H3" s="88"/>
    </row>
    <row r="5" spans="2:18" ht="18" thickBot="1" x14ac:dyDescent="0.3">
      <c r="B5" s="25" t="s">
        <v>77</v>
      </c>
      <c r="C5" s="26" t="s">
        <v>78</v>
      </c>
      <c r="D5" s="26" t="s">
        <v>79</v>
      </c>
      <c r="E5" s="26" t="s">
        <v>80</v>
      </c>
      <c r="F5" s="26" t="s">
        <v>81</v>
      </c>
      <c r="G5" s="27" t="s">
        <v>82</v>
      </c>
      <c r="H5" s="28" t="s">
        <v>83</v>
      </c>
      <c r="M5" s="84" t="s">
        <v>84</v>
      </c>
      <c r="N5" s="85"/>
      <c r="O5" s="85"/>
      <c r="P5" s="85"/>
      <c r="Q5" s="85"/>
      <c r="R5" s="85"/>
    </row>
    <row r="6" spans="2:18" ht="18" thickBot="1" x14ac:dyDescent="0.3">
      <c r="B6" s="29">
        <v>1</v>
      </c>
      <c r="C6" s="30" t="s">
        <v>85</v>
      </c>
      <c r="D6" s="30">
        <v>78</v>
      </c>
      <c r="E6" s="30">
        <v>82</v>
      </c>
      <c r="F6" s="30">
        <v>74</v>
      </c>
      <c r="G6" s="31">
        <f>SUM(Table4[[#This Row],[Maths]:[English]])</f>
        <v>234</v>
      </c>
      <c r="H6" s="32">
        <f>Table4[[#This Row],[Total]]/300</f>
        <v>0.78</v>
      </c>
      <c r="M6" s="85"/>
      <c r="N6" s="85"/>
      <c r="O6" s="85"/>
      <c r="P6" s="85"/>
      <c r="Q6" s="85"/>
      <c r="R6" s="85"/>
    </row>
    <row r="7" spans="2:18" ht="18" thickBot="1" x14ac:dyDescent="0.3">
      <c r="B7" s="29">
        <v>2</v>
      </c>
      <c r="C7" s="30" t="s">
        <v>86</v>
      </c>
      <c r="D7" s="30">
        <v>65</v>
      </c>
      <c r="E7" s="30">
        <v>70</v>
      </c>
      <c r="F7" s="30">
        <v>68</v>
      </c>
      <c r="G7" s="31">
        <f>SUM(Table4[[#This Row],[Maths]:[English]])</f>
        <v>203</v>
      </c>
      <c r="H7" s="32">
        <f>Table4[[#This Row],[Total]]/300</f>
        <v>0.67666666666666664</v>
      </c>
      <c r="M7" s="85"/>
      <c r="N7" s="85"/>
      <c r="O7" s="85"/>
      <c r="P7" s="85"/>
      <c r="Q7" s="85"/>
      <c r="R7" s="85"/>
    </row>
    <row r="8" spans="2:18" ht="18" thickBot="1" x14ac:dyDescent="0.3">
      <c r="B8" s="29">
        <v>3</v>
      </c>
      <c r="C8" s="30" t="s">
        <v>87</v>
      </c>
      <c r="D8" s="30">
        <v>90</v>
      </c>
      <c r="E8" s="30">
        <v>88</v>
      </c>
      <c r="F8" s="30">
        <v>92</v>
      </c>
      <c r="G8" s="31">
        <f>SUM(Table4[[#This Row],[Maths]:[English]])</f>
        <v>270</v>
      </c>
      <c r="H8" s="32">
        <f>Table4[[#This Row],[Total]]/300</f>
        <v>0.9</v>
      </c>
      <c r="M8" s="85"/>
      <c r="N8" s="85"/>
      <c r="O8" s="85"/>
      <c r="P8" s="85"/>
      <c r="Q8" s="85"/>
      <c r="R8" s="85"/>
    </row>
    <row r="9" spans="2:18" ht="18" thickBot="1" x14ac:dyDescent="0.3">
      <c r="B9" s="29">
        <v>4</v>
      </c>
      <c r="C9" s="30" t="s">
        <v>88</v>
      </c>
      <c r="D9" s="30">
        <v>35</v>
      </c>
      <c r="E9" s="30">
        <v>40</v>
      </c>
      <c r="F9" s="30">
        <v>38</v>
      </c>
      <c r="G9" s="31">
        <f>SUM(Table4[[#This Row],[Maths]:[English]])</f>
        <v>113</v>
      </c>
      <c r="H9" s="32">
        <f>Table4[[#This Row],[Total]]/300</f>
        <v>0.37666666666666665</v>
      </c>
      <c r="M9" s="85"/>
      <c r="N9" s="85"/>
      <c r="O9" s="85"/>
      <c r="P9" s="85"/>
      <c r="Q9" s="85"/>
      <c r="R9" s="85"/>
    </row>
    <row r="10" spans="2:18" ht="18" thickBot="1" x14ac:dyDescent="0.3">
      <c r="B10" s="33">
        <v>5</v>
      </c>
      <c r="C10" s="34" t="s">
        <v>89</v>
      </c>
      <c r="D10" s="34">
        <v>55</v>
      </c>
      <c r="E10" s="34">
        <v>60</v>
      </c>
      <c r="F10" s="34">
        <v>58</v>
      </c>
      <c r="G10" s="35">
        <f>SUM(Table4[[#This Row],[Maths]:[English]])</f>
        <v>173</v>
      </c>
      <c r="H10" s="36">
        <f>Table4[[#This Row],[Total]]/300</f>
        <v>0.57666666666666666</v>
      </c>
      <c r="M10" s="85"/>
      <c r="N10" s="85"/>
      <c r="O10" s="85"/>
      <c r="P10" s="85"/>
      <c r="Q10" s="85"/>
      <c r="R10" s="85"/>
    </row>
    <row r="11" spans="2:18" ht="18" thickBot="1" x14ac:dyDescent="0.3">
      <c r="B11" s="29">
        <v>6</v>
      </c>
      <c r="C11" s="30" t="s">
        <v>90</v>
      </c>
      <c r="D11" s="30">
        <v>82</v>
      </c>
      <c r="E11" s="30">
        <v>44</v>
      </c>
      <c r="F11" s="30">
        <v>78</v>
      </c>
      <c r="G11" s="31">
        <f>SUM(Table4[[#This Row],[Maths]:[English]])</f>
        <v>204</v>
      </c>
      <c r="H11" s="32">
        <f>Table4[[#This Row],[Total]]/300</f>
        <v>0.68</v>
      </c>
      <c r="M11" s="85"/>
      <c r="N11" s="85"/>
      <c r="O11" s="85"/>
      <c r="P11" s="85"/>
      <c r="Q11" s="85"/>
      <c r="R11" s="85"/>
    </row>
    <row r="12" spans="2:18" ht="18" thickBot="1" x14ac:dyDescent="0.3">
      <c r="B12" s="29">
        <v>7</v>
      </c>
      <c r="C12" s="30" t="s">
        <v>91</v>
      </c>
      <c r="D12" s="30">
        <v>70</v>
      </c>
      <c r="E12" s="30">
        <v>58</v>
      </c>
      <c r="F12" s="30">
        <v>65</v>
      </c>
      <c r="G12" s="31">
        <f>SUM(Table4[[#This Row],[Maths]:[English]])</f>
        <v>193</v>
      </c>
      <c r="H12" s="32">
        <f>Table4[[#This Row],[Total]]/300</f>
        <v>0.64333333333333331</v>
      </c>
    </row>
    <row r="13" spans="2:18" ht="18" thickBot="1" x14ac:dyDescent="0.3">
      <c r="B13" s="29">
        <v>8</v>
      </c>
      <c r="C13" s="30" t="s">
        <v>92</v>
      </c>
      <c r="D13" s="30">
        <v>88</v>
      </c>
      <c r="E13" s="30">
        <v>36</v>
      </c>
      <c r="F13" s="30">
        <v>48</v>
      </c>
      <c r="G13" s="31">
        <f>SUM(Table4[[#This Row],[Maths]:[English]])</f>
        <v>172</v>
      </c>
      <c r="H13" s="32">
        <f>Table4[[#This Row],[Total]]/300</f>
        <v>0.57333333333333336</v>
      </c>
    </row>
    <row r="14" spans="2:18" ht="18" thickBot="1" x14ac:dyDescent="0.3">
      <c r="B14" s="29">
        <v>9</v>
      </c>
      <c r="C14" s="30" t="s">
        <v>93</v>
      </c>
      <c r="D14" s="30">
        <v>40</v>
      </c>
      <c r="E14" s="30">
        <v>88</v>
      </c>
      <c r="F14" s="30">
        <v>37</v>
      </c>
      <c r="G14" s="31">
        <f>SUM(Table4[[#This Row],[Maths]:[English]])</f>
        <v>165</v>
      </c>
      <c r="H14" s="32">
        <f>Table4[[#This Row],[Total]]/300</f>
        <v>0.55000000000000004</v>
      </c>
    </row>
    <row r="15" spans="2:18" ht="18" thickBot="1" x14ac:dyDescent="0.3">
      <c r="B15" s="33">
        <v>10</v>
      </c>
      <c r="C15" s="30" t="s">
        <v>94</v>
      </c>
      <c r="D15" s="34">
        <v>60</v>
      </c>
      <c r="E15" s="30">
        <v>45</v>
      </c>
      <c r="F15" s="30">
        <v>68</v>
      </c>
      <c r="G15" s="31">
        <f>SUM(Table4[[#This Row],[Maths]:[English]])</f>
        <v>173</v>
      </c>
      <c r="H15" s="32">
        <f>Table4[[#This Row],[Total]]/300</f>
        <v>0.57666666666666666</v>
      </c>
    </row>
    <row r="16" spans="2:18" ht="18" thickBot="1" x14ac:dyDescent="0.3">
      <c r="B16" s="29">
        <v>11</v>
      </c>
      <c r="C16" s="30" t="s">
        <v>95</v>
      </c>
      <c r="D16" s="30">
        <v>74</v>
      </c>
      <c r="E16" s="30">
        <v>70</v>
      </c>
      <c r="F16" s="30">
        <v>59</v>
      </c>
      <c r="G16" s="31">
        <f>SUM(Table4[[#This Row],[Maths]:[English]])</f>
        <v>203</v>
      </c>
      <c r="H16" s="32">
        <f>Table4[[#This Row],[Total]]/300</f>
        <v>0.67666666666666664</v>
      </c>
    </row>
    <row r="17" spans="2:8" ht="18" thickBot="1" x14ac:dyDescent="0.3">
      <c r="B17" s="29">
        <v>12</v>
      </c>
      <c r="C17" s="30" t="s">
        <v>96</v>
      </c>
      <c r="D17" s="30">
        <v>68</v>
      </c>
      <c r="E17" s="30">
        <v>60</v>
      </c>
      <c r="F17" s="30">
        <v>48</v>
      </c>
      <c r="G17" s="31">
        <f>SUM(Table4[[#This Row],[Maths]:[English]])</f>
        <v>176</v>
      </c>
      <c r="H17" s="32">
        <f>Table4[[#This Row],[Total]]/300</f>
        <v>0.58666666666666667</v>
      </c>
    </row>
    <row r="18" spans="2:8" ht="18" thickBot="1" x14ac:dyDescent="0.3">
      <c r="B18" s="29">
        <v>13</v>
      </c>
      <c r="C18" s="30" t="s">
        <v>97</v>
      </c>
      <c r="D18" s="30">
        <v>92</v>
      </c>
      <c r="E18" s="30">
        <v>25</v>
      </c>
      <c r="F18" s="30">
        <v>90</v>
      </c>
      <c r="G18" s="31">
        <f>SUM(Table4[[#This Row],[Maths]:[English]])</f>
        <v>207</v>
      </c>
      <c r="H18" s="32">
        <f>Table4[[#This Row],[Total]]/300</f>
        <v>0.69</v>
      </c>
    </row>
    <row r="19" spans="2:8" ht="18" thickBot="1" x14ac:dyDescent="0.3">
      <c r="B19" s="29">
        <v>14</v>
      </c>
      <c r="C19" s="30" t="s">
        <v>98</v>
      </c>
      <c r="D19" s="30">
        <v>38</v>
      </c>
      <c r="E19" s="30">
        <v>39</v>
      </c>
      <c r="F19" s="30">
        <v>45</v>
      </c>
      <c r="G19" s="31">
        <f>SUM(Table4[[#This Row],[Maths]:[English]])</f>
        <v>122</v>
      </c>
      <c r="H19" s="32">
        <f>Table4[[#This Row],[Total]]/300</f>
        <v>0.40666666666666668</v>
      </c>
    </row>
    <row r="20" spans="2:8" ht="18" thickBot="1" x14ac:dyDescent="0.3">
      <c r="B20" s="33">
        <v>15</v>
      </c>
      <c r="C20" s="30" t="s">
        <v>99</v>
      </c>
      <c r="D20" s="34">
        <v>58</v>
      </c>
      <c r="E20" s="30">
        <v>55</v>
      </c>
      <c r="F20" s="30">
        <v>88</v>
      </c>
      <c r="G20" s="31">
        <f>SUM(Table4[[#This Row],[Maths]:[English]])</f>
        <v>201</v>
      </c>
      <c r="H20" s="32">
        <f>Table4[[#This Row],[Total]]/300</f>
        <v>0.67</v>
      </c>
    </row>
    <row r="21" spans="2:8" ht="18" thickBot="1" x14ac:dyDescent="0.3">
      <c r="B21" s="29">
        <v>16</v>
      </c>
      <c r="C21" s="30" t="s">
        <v>100</v>
      </c>
      <c r="D21" s="30">
        <v>78</v>
      </c>
      <c r="E21" s="30">
        <v>84</v>
      </c>
      <c r="F21" s="30">
        <v>90</v>
      </c>
      <c r="G21" s="31">
        <f>SUM(Table4[[#This Row],[Maths]:[English]])</f>
        <v>252</v>
      </c>
      <c r="H21" s="32">
        <f>Table4[[#This Row],[Total]]/300</f>
        <v>0.84</v>
      </c>
    </row>
    <row r="22" spans="2:8" ht="18" thickBot="1" x14ac:dyDescent="0.3">
      <c r="B22" s="29">
        <v>17</v>
      </c>
      <c r="C22" s="30" t="s">
        <v>101</v>
      </c>
      <c r="D22" s="30">
        <v>65</v>
      </c>
      <c r="E22" s="30">
        <v>90</v>
      </c>
      <c r="F22" s="30">
        <v>95</v>
      </c>
      <c r="G22" s="31">
        <f>SUM(Table4[[#This Row],[Maths]:[English]])</f>
        <v>250</v>
      </c>
      <c r="H22" s="32">
        <f>Table4[[#This Row],[Total]]/300</f>
        <v>0.83333333333333337</v>
      </c>
    </row>
    <row r="23" spans="2:8" ht="18" thickBot="1" x14ac:dyDescent="0.3">
      <c r="B23" s="29">
        <v>18</v>
      </c>
      <c r="C23" s="30" t="s">
        <v>102</v>
      </c>
      <c r="D23" s="30">
        <v>90</v>
      </c>
      <c r="E23" s="30">
        <v>78</v>
      </c>
      <c r="F23" s="30">
        <v>45</v>
      </c>
      <c r="G23" s="31">
        <f>SUM(Table4[[#This Row],[Maths]:[English]])</f>
        <v>213</v>
      </c>
      <c r="H23" s="32">
        <f>Table4[[#This Row],[Total]]/300</f>
        <v>0.71</v>
      </c>
    </row>
    <row r="24" spans="2:8" ht="18" thickBot="1" x14ac:dyDescent="0.3">
      <c r="B24" s="29">
        <v>19</v>
      </c>
      <c r="C24" s="30" t="s">
        <v>103</v>
      </c>
      <c r="D24" s="30">
        <v>35</v>
      </c>
      <c r="E24" s="30">
        <v>63</v>
      </c>
      <c r="F24" s="30">
        <v>76</v>
      </c>
      <c r="G24" s="31">
        <f>SUM(Table4[[#This Row],[Maths]:[English]])</f>
        <v>174</v>
      </c>
      <c r="H24" s="32">
        <f>Table4[[#This Row],[Total]]/300</f>
        <v>0.57999999999999996</v>
      </c>
    </row>
    <row r="25" spans="2:8" ht="18" thickBot="1" x14ac:dyDescent="0.3">
      <c r="B25" s="33">
        <v>20</v>
      </c>
      <c r="C25" s="30" t="s">
        <v>104</v>
      </c>
      <c r="D25" s="34">
        <v>55</v>
      </c>
      <c r="E25" s="30">
        <v>85</v>
      </c>
      <c r="F25" s="30">
        <v>66</v>
      </c>
      <c r="G25" s="31">
        <f>SUM(Table4[[#This Row],[Maths]:[English]])</f>
        <v>206</v>
      </c>
      <c r="H25" s="32">
        <f>Table4[[#This Row],[Total]]/300</f>
        <v>0.68666666666666665</v>
      </c>
    </row>
  </sheetData>
  <mergeCells count="3">
    <mergeCell ref="B1:G1"/>
    <mergeCell ref="B3:H3"/>
    <mergeCell ref="M5:R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3E3A-C545-4331-9CEA-4275AA59DA78}">
  <dimension ref="B1:P30"/>
  <sheetViews>
    <sheetView workbookViewId="0">
      <selection sqref="A1:XFD1048576"/>
    </sheetView>
  </sheetViews>
  <sheetFormatPr defaultRowHeight="15" x14ac:dyDescent="0.25"/>
  <cols>
    <col min="2" max="2" width="18" bestFit="1" customWidth="1"/>
    <col min="3" max="3" width="14.7109375" bestFit="1" customWidth="1"/>
    <col min="4" max="4" width="21.42578125" bestFit="1" customWidth="1"/>
  </cols>
  <sheetData>
    <row r="1" spans="2:16" ht="21" x14ac:dyDescent="0.35">
      <c r="B1" s="86" t="s">
        <v>105</v>
      </c>
      <c r="C1" s="86"/>
      <c r="D1" s="86"/>
      <c r="E1" s="86"/>
      <c r="F1" s="86"/>
    </row>
    <row r="3" spans="2:16" ht="26.25" thickBot="1" x14ac:dyDescent="0.3">
      <c r="B3" s="37" t="s">
        <v>106</v>
      </c>
      <c r="C3" s="38" t="s">
        <v>107</v>
      </c>
      <c r="D3" s="39" t="s">
        <v>56</v>
      </c>
      <c r="M3" s="84" t="s">
        <v>108</v>
      </c>
      <c r="N3" s="85"/>
      <c r="O3" s="85"/>
      <c r="P3" s="85"/>
    </row>
    <row r="4" spans="2:16" ht="18" thickBot="1" x14ac:dyDescent="0.3">
      <c r="B4" s="40" t="s">
        <v>109</v>
      </c>
      <c r="C4" s="41">
        <v>45292</v>
      </c>
      <c r="D4" s="42">
        <v>12000</v>
      </c>
      <c r="M4" s="85"/>
      <c r="N4" s="85"/>
      <c r="O4" s="85"/>
      <c r="P4" s="85"/>
    </row>
    <row r="5" spans="2:16" ht="18" thickBot="1" x14ac:dyDescent="0.3">
      <c r="B5" s="40" t="s">
        <v>110</v>
      </c>
      <c r="C5" s="41">
        <v>45293</v>
      </c>
      <c r="D5" s="42">
        <v>25000</v>
      </c>
      <c r="M5" s="85"/>
      <c r="N5" s="85"/>
      <c r="O5" s="85"/>
      <c r="P5" s="85"/>
    </row>
    <row r="6" spans="2:16" ht="18" thickBot="1" x14ac:dyDescent="0.3">
      <c r="B6" s="40" t="s">
        <v>111</v>
      </c>
      <c r="C6" s="41">
        <v>45294</v>
      </c>
      <c r="D6" s="42">
        <v>8000</v>
      </c>
      <c r="M6" s="85"/>
      <c r="N6" s="85"/>
      <c r="O6" s="85"/>
      <c r="P6" s="85"/>
    </row>
    <row r="7" spans="2:16" ht="18" thickBot="1" x14ac:dyDescent="0.3">
      <c r="B7" s="40" t="s">
        <v>112</v>
      </c>
      <c r="C7" s="41">
        <v>45295</v>
      </c>
      <c r="D7" s="42">
        <v>32000</v>
      </c>
      <c r="M7" s="85"/>
      <c r="N7" s="85"/>
      <c r="O7" s="85"/>
      <c r="P7" s="85"/>
    </row>
    <row r="8" spans="2:16" ht="18" thickBot="1" x14ac:dyDescent="0.3">
      <c r="B8" s="43" t="s">
        <v>113</v>
      </c>
      <c r="C8" s="41">
        <v>45296</v>
      </c>
      <c r="D8" s="44">
        <v>15000</v>
      </c>
    </row>
    <row r="9" spans="2:16" ht="18" thickBot="1" x14ac:dyDescent="0.3">
      <c r="B9" s="40" t="s">
        <v>114</v>
      </c>
      <c r="C9" s="41">
        <v>45515</v>
      </c>
      <c r="D9" s="42">
        <v>20000</v>
      </c>
    </row>
    <row r="10" spans="2:16" ht="18" thickBot="1" x14ac:dyDescent="0.3">
      <c r="B10" s="40" t="s">
        <v>115</v>
      </c>
      <c r="C10" s="41">
        <v>45513</v>
      </c>
      <c r="D10" s="42">
        <v>20000</v>
      </c>
    </row>
    <row r="11" spans="2:16" ht="18" thickBot="1" x14ac:dyDescent="0.3">
      <c r="B11" s="40" t="s">
        <v>116</v>
      </c>
      <c r="C11" s="41">
        <v>45584</v>
      </c>
      <c r="D11" s="42">
        <v>15000</v>
      </c>
    </row>
    <row r="12" spans="2:16" ht="18" thickBot="1" x14ac:dyDescent="0.3">
      <c r="B12" s="40" t="s">
        <v>117</v>
      </c>
      <c r="C12" s="41">
        <v>45447</v>
      </c>
      <c r="D12" s="42">
        <v>22000</v>
      </c>
    </row>
    <row r="13" spans="2:16" ht="18" thickBot="1" x14ac:dyDescent="0.3">
      <c r="B13" s="43" t="s">
        <v>118</v>
      </c>
      <c r="C13" s="41">
        <v>45648</v>
      </c>
      <c r="D13" s="42">
        <v>13000</v>
      </c>
    </row>
    <row r="14" spans="2:16" ht="18" thickBot="1" x14ac:dyDescent="0.3">
      <c r="B14" s="40" t="s">
        <v>119</v>
      </c>
      <c r="C14" s="41">
        <v>45455</v>
      </c>
      <c r="D14" s="42">
        <v>10000</v>
      </c>
    </row>
    <row r="15" spans="2:16" ht="18" thickBot="1" x14ac:dyDescent="0.3">
      <c r="B15" s="40" t="s">
        <v>120</v>
      </c>
      <c r="C15" s="41">
        <v>45327</v>
      </c>
      <c r="D15" s="42">
        <v>4000</v>
      </c>
    </row>
    <row r="16" spans="2:16" ht="18" thickBot="1" x14ac:dyDescent="0.3">
      <c r="B16" s="40" t="s">
        <v>121</v>
      </c>
      <c r="C16" s="41">
        <v>45334</v>
      </c>
      <c r="D16" s="42">
        <v>12000</v>
      </c>
    </row>
    <row r="17" spans="2:4" ht="18" thickBot="1" x14ac:dyDescent="0.3">
      <c r="B17" s="40" t="s">
        <v>122</v>
      </c>
      <c r="C17" s="41">
        <v>45369</v>
      </c>
      <c r="D17" s="42">
        <v>3000</v>
      </c>
    </row>
    <row r="18" spans="2:4" ht="18" thickBot="1" x14ac:dyDescent="0.3">
      <c r="B18" s="43" t="s">
        <v>123</v>
      </c>
      <c r="C18" s="41">
        <v>45644</v>
      </c>
      <c r="D18" s="42">
        <v>5000</v>
      </c>
    </row>
    <row r="19" spans="2:4" ht="18" thickBot="1" x14ac:dyDescent="0.3">
      <c r="B19" s="40" t="s">
        <v>124</v>
      </c>
      <c r="C19" s="41">
        <v>45509</v>
      </c>
      <c r="D19" s="42">
        <v>8000</v>
      </c>
    </row>
    <row r="20" spans="2:4" ht="18" thickBot="1" x14ac:dyDescent="0.3">
      <c r="B20" s="40" t="s">
        <v>125</v>
      </c>
      <c r="C20" s="41">
        <v>45595</v>
      </c>
      <c r="D20" s="42">
        <v>11000</v>
      </c>
    </row>
    <row r="21" spans="2:4" ht="18" thickBot="1" x14ac:dyDescent="0.3">
      <c r="B21" s="40" t="s">
        <v>126</v>
      </c>
      <c r="C21" s="41">
        <v>45458</v>
      </c>
      <c r="D21" s="42">
        <v>12000</v>
      </c>
    </row>
    <row r="22" spans="2:4" ht="18" thickBot="1" x14ac:dyDescent="0.3">
      <c r="B22" s="40" t="s">
        <v>127</v>
      </c>
      <c r="C22" s="41">
        <v>45509</v>
      </c>
      <c r="D22" s="42">
        <v>3000</v>
      </c>
    </row>
    <row r="23" spans="2:4" ht="18" thickBot="1" x14ac:dyDescent="0.3">
      <c r="B23" s="43" t="s">
        <v>128</v>
      </c>
      <c r="C23" s="41">
        <v>45625</v>
      </c>
      <c r="D23" s="42">
        <v>16000</v>
      </c>
    </row>
    <row r="25" spans="2:4" ht="18.75" x14ac:dyDescent="0.3">
      <c r="C25" s="45" t="s">
        <v>129</v>
      </c>
      <c r="D25" s="46">
        <f>SUM(Table5[Sales Amount])</f>
        <v>266000</v>
      </c>
    </row>
    <row r="27" spans="2:4" ht="18.75" x14ac:dyDescent="0.3">
      <c r="C27" s="47" t="s">
        <v>130</v>
      </c>
      <c r="D27" s="48">
        <f>AVERAGE(Table5[Sales Amount])</f>
        <v>13300</v>
      </c>
    </row>
    <row r="29" spans="2:4" ht="18.75" x14ac:dyDescent="0.3">
      <c r="C29" s="49" t="s">
        <v>131</v>
      </c>
      <c r="D29" s="49">
        <f>MAX(Table5[Sales Amount])</f>
        <v>32000</v>
      </c>
    </row>
    <row r="30" spans="2:4" ht="18.75" x14ac:dyDescent="0.3">
      <c r="C30" s="49" t="s">
        <v>132</v>
      </c>
      <c r="D30" s="49">
        <f>MIN(Table5[Sales Amount])</f>
        <v>3000</v>
      </c>
    </row>
  </sheetData>
  <mergeCells count="2">
    <mergeCell ref="B1:F1"/>
    <mergeCell ref="M3:P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E38A-0B00-43D3-B3A1-3782935F1CA7}">
  <dimension ref="A1:N22"/>
  <sheetViews>
    <sheetView workbookViewId="0">
      <selection activeCell="G17" sqref="G17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14.85546875" bestFit="1" customWidth="1"/>
  </cols>
  <sheetData>
    <row r="1" spans="1:14" x14ac:dyDescent="0.25">
      <c r="B1" s="89"/>
      <c r="C1" s="89"/>
      <c r="D1" s="89"/>
      <c r="E1" s="89"/>
    </row>
    <row r="5" spans="1:14" s="53" customFormat="1" ht="41.25" thickBot="1" x14ac:dyDescent="0.35">
      <c r="A5" s="50" t="s">
        <v>133</v>
      </c>
      <c r="B5" s="51" t="s">
        <v>5</v>
      </c>
      <c r="C5" s="52" t="s">
        <v>6</v>
      </c>
      <c r="J5" s="90" t="s">
        <v>134</v>
      </c>
      <c r="K5" s="91"/>
      <c r="L5" s="91"/>
      <c r="M5" s="91"/>
      <c r="N5" s="91"/>
    </row>
    <row r="6" spans="1:14" ht="18" thickBot="1" x14ac:dyDescent="0.3">
      <c r="A6" s="54" t="s">
        <v>135</v>
      </c>
      <c r="B6" s="55" t="s">
        <v>10</v>
      </c>
      <c r="C6" s="56">
        <v>28000</v>
      </c>
      <c r="J6" s="91"/>
      <c r="K6" s="91"/>
      <c r="L6" s="91"/>
      <c r="M6" s="91"/>
      <c r="N6" s="91"/>
    </row>
    <row r="7" spans="1:14" ht="18" thickBot="1" x14ac:dyDescent="0.3">
      <c r="A7" s="54" t="s">
        <v>136</v>
      </c>
      <c r="B7" s="55" t="s">
        <v>13</v>
      </c>
      <c r="C7" s="56">
        <v>45000</v>
      </c>
      <c r="J7" s="91"/>
      <c r="K7" s="91"/>
      <c r="L7" s="91"/>
      <c r="M7" s="91"/>
      <c r="N7" s="91"/>
    </row>
    <row r="8" spans="1:14" ht="18" thickBot="1" x14ac:dyDescent="0.3">
      <c r="A8" s="54" t="s">
        <v>137</v>
      </c>
      <c r="B8" s="55" t="s">
        <v>13</v>
      </c>
      <c r="C8" s="56">
        <v>50000</v>
      </c>
      <c r="J8" s="91"/>
      <c r="K8" s="91"/>
      <c r="L8" s="91"/>
      <c r="M8" s="91"/>
      <c r="N8" s="91"/>
    </row>
    <row r="9" spans="1:14" ht="18" thickBot="1" x14ac:dyDescent="0.3">
      <c r="A9" s="54" t="s">
        <v>138</v>
      </c>
      <c r="B9" s="55" t="s">
        <v>16</v>
      </c>
      <c r="C9" s="56">
        <v>42000</v>
      </c>
    </row>
    <row r="10" spans="1:14" ht="18" thickBot="1" x14ac:dyDescent="0.3">
      <c r="A10" s="54" t="s">
        <v>139</v>
      </c>
      <c r="B10" s="55" t="s">
        <v>10</v>
      </c>
      <c r="C10" s="56">
        <v>30000</v>
      </c>
    </row>
    <row r="11" spans="1:14" ht="17.25" x14ac:dyDescent="0.25">
      <c r="A11" s="57" t="s">
        <v>140</v>
      </c>
      <c r="B11" s="58" t="s">
        <v>16</v>
      </c>
      <c r="C11" s="59">
        <v>38000</v>
      </c>
    </row>
    <row r="16" spans="1:14" ht="18.75" x14ac:dyDescent="0.3">
      <c r="B16" s="60" t="s">
        <v>10</v>
      </c>
      <c r="C16" s="61">
        <f>SUMIF(Table2[Department],B6,Table2[Salary])</f>
        <v>58000</v>
      </c>
    </row>
    <row r="17" spans="2:3" ht="18.75" x14ac:dyDescent="0.3">
      <c r="B17" s="60" t="s">
        <v>13</v>
      </c>
      <c r="C17" s="61">
        <f>SUMIF(Table2[Department],B7,Table2[Salary])</f>
        <v>95000</v>
      </c>
    </row>
    <row r="18" spans="2:3" ht="18.75" x14ac:dyDescent="0.3">
      <c r="B18" s="60" t="s">
        <v>16</v>
      </c>
      <c r="C18" s="61">
        <f>SUMIF(Table2[Department],B9,Table2[Salary])</f>
        <v>80000</v>
      </c>
    </row>
    <row r="20" spans="2:3" ht="18.75" x14ac:dyDescent="0.3">
      <c r="B20" s="60" t="s">
        <v>141</v>
      </c>
      <c r="C20" s="61">
        <f>AVERAGE(Table2[Salary])</f>
        <v>38833.333333333336</v>
      </c>
    </row>
    <row r="22" spans="2:3" ht="18.75" x14ac:dyDescent="0.3">
      <c r="B22" s="60" t="s">
        <v>142</v>
      </c>
      <c r="C22" s="60">
        <f>COUNTA(Table2[Employee Name])</f>
        <v>6</v>
      </c>
    </row>
  </sheetData>
  <mergeCells count="2">
    <mergeCell ref="B1:E1"/>
    <mergeCell ref="J5:N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EFE3-6D77-4827-B006-8FD92DE5EB1D}">
  <dimension ref="A5:M10"/>
  <sheetViews>
    <sheetView workbookViewId="0">
      <selection activeCell="H6" sqref="H6"/>
    </sheetView>
  </sheetViews>
  <sheetFormatPr defaultRowHeight="15" x14ac:dyDescent="0.25"/>
  <cols>
    <col min="1" max="1" width="22.140625" bestFit="1" customWidth="1"/>
    <col min="2" max="6" width="12.28515625" bestFit="1" customWidth="1"/>
    <col min="7" max="8" width="12.28515625" customWidth="1"/>
  </cols>
  <sheetData>
    <row r="5" spans="1:13" ht="18" thickBot="1" x14ac:dyDescent="0.3">
      <c r="A5" s="62" t="s">
        <v>78</v>
      </c>
      <c r="B5" s="63" t="s">
        <v>143</v>
      </c>
      <c r="C5" s="63" t="s">
        <v>144</v>
      </c>
      <c r="D5" s="63" t="s">
        <v>145</v>
      </c>
      <c r="E5" s="63" t="s">
        <v>146</v>
      </c>
      <c r="F5" s="64" t="s">
        <v>147</v>
      </c>
      <c r="G5" s="63" t="s">
        <v>148</v>
      </c>
      <c r="H5" s="63" t="s">
        <v>149</v>
      </c>
      <c r="K5" s="84" t="s">
        <v>150</v>
      </c>
      <c r="L5" s="85"/>
      <c r="M5" s="85"/>
    </row>
    <row r="6" spans="1:13" ht="18" thickBot="1" x14ac:dyDescent="0.3">
      <c r="A6" s="65" t="s">
        <v>85</v>
      </c>
      <c r="B6" s="66" t="s">
        <v>151</v>
      </c>
      <c r="C6" s="66" t="s">
        <v>152</v>
      </c>
      <c r="D6" s="66" t="s">
        <v>151</v>
      </c>
      <c r="E6" s="66" t="s">
        <v>151</v>
      </c>
      <c r="F6" s="67" t="s">
        <v>151</v>
      </c>
      <c r="G6" s="63">
        <f>COUNTIF(Table6[[#This Row],[Day 1]:[Day 5]],Table6[[#This Row],[Day 1]])</f>
        <v>4</v>
      </c>
      <c r="H6" s="63">
        <f>COUNTIF(Table6[[#This Row],[Day 1]:[Present]],Table6[[#This Row],[Day 2]])</f>
        <v>1</v>
      </c>
      <c r="K6" s="85"/>
      <c r="L6" s="85"/>
      <c r="M6" s="85"/>
    </row>
    <row r="7" spans="1:13" ht="18" thickBot="1" x14ac:dyDescent="0.3">
      <c r="A7" s="65" t="s">
        <v>86</v>
      </c>
      <c r="B7" s="66" t="s">
        <v>151</v>
      </c>
      <c r="C7" s="66" t="s">
        <v>151</v>
      </c>
      <c r="D7" s="66" t="s">
        <v>151</v>
      </c>
      <c r="E7" s="66" t="s">
        <v>152</v>
      </c>
      <c r="F7" s="67" t="s">
        <v>151</v>
      </c>
      <c r="G7" s="66">
        <f>COUNTIF(Table6[[#This Row],[Day 1]:[Day 5]],Table6[[#This Row],[Day 1]])</f>
        <v>4</v>
      </c>
      <c r="H7" s="66">
        <f>COUNTIF(Table6[[#This Row],[Day 1]:[Present]],Table6[[#This Row],[Day 2]])</f>
        <v>4</v>
      </c>
      <c r="K7" s="85"/>
      <c r="L7" s="85"/>
      <c r="M7" s="85"/>
    </row>
    <row r="8" spans="1:13" ht="18" thickBot="1" x14ac:dyDescent="0.3">
      <c r="A8" s="65" t="s">
        <v>87</v>
      </c>
      <c r="B8" s="66" t="s">
        <v>152</v>
      </c>
      <c r="C8" s="66" t="s">
        <v>151</v>
      </c>
      <c r="D8" s="66" t="s">
        <v>151</v>
      </c>
      <c r="E8" s="66" t="s">
        <v>151</v>
      </c>
      <c r="F8" s="67" t="s">
        <v>151</v>
      </c>
      <c r="G8" s="66">
        <f>COUNTIF(Table6[[#This Row],[Day 1]:[Day 5]],Table6[[#This Row],[Day 1]])</f>
        <v>1</v>
      </c>
      <c r="H8" s="66">
        <f>COUNTIF(Table6[[#This Row],[Day 1]:[Present]],Table6[[#This Row],[Day 2]])</f>
        <v>4</v>
      </c>
    </row>
    <row r="9" spans="1:13" ht="18.75" x14ac:dyDescent="0.3">
      <c r="A9" s="68" t="s">
        <v>88</v>
      </c>
      <c r="B9" s="69" t="s">
        <v>151</v>
      </c>
      <c r="C9" s="69" t="s">
        <v>152</v>
      </c>
      <c r="D9" s="69" t="s">
        <v>152</v>
      </c>
      <c r="E9" s="69" t="s">
        <v>151</v>
      </c>
      <c r="F9" s="70" t="s">
        <v>152</v>
      </c>
      <c r="G9" s="69">
        <f>COUNTIF(Table6[[#This Row],[Day 1]:[Day 5]],Table6[[#This Row],[Day 1]])</f>
        <v>2</v>
      </c>
      <c r="H9" s="69">
        <f>COUNTIF(Table6[[#This Row],[Day 1]:[Present]],Table6[[#This Row],[Day 2]])</f>
        <v>3</v>
      </c>
      <c r="K9" s="92" t="s">
        <v>153</v>
      </c>
      <c r="L9" s="92"/>
      <c r="M9" s="92"/>
    </row>
    <row r="10" spans="1:13" ht="18.75" x14ac:dyDescent="0.3">
      <c r="K10" s="92" t="s">
        <v>154</v>
      </c>
      <c r="L10" s="92"/>
      <c r="M10" s="92"/>
    </row>
  </sheetData>
  <mergeCells count="3">
    <mergeCell ref="K5:M7"/>
    <mergeCell ref="K9:M9"/>
    <mergeCell ref="K10:M10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CDBE-F793-49F6-9137-CA10EA7675EF}">
  <dimension ref="A5:O28"/>
  <sheetViews>
    <sheetView workbookViewId="0">
      <selection activeCell="G14" sqref="G14"/>
    </sheetView>
  </sheetViews>
  <sheetFormatPr defaultRowHeight="15" x14ac:dyDescent="0.25"/>
  <cols>
    <col min="1" max="1" width="26.7109375" customWidth="1"/>
    <col min="2" max="2" width="45.85546875" customWidth="1"/>
  </cols>
  <sheetData>
    <row r="5" spans="1:15" ht="26.25" thickBot="1" x14ac:dyDescent="0.3">
      <c r="A5" s="71" t="s">
        <v>155</v>
      </c>
      <c r="B5" s="72" t="s">
        <v>56</v>
      </c>
      <c r="L5" s="93" t="s">
        <v>156</v>
      </c>
      <c r="M5" s="94"/>
      <c r="N5" s="94"/>
    </row>
    <row r="6" spans="1:15" ht="26.25" thickBot="1" x14ac:dyDescent="0.3">
      <c r="A6" s="73" t="s">
        <v>157</v>
      </c>
      <c r="B6" s="74">
        <v>4500</v>
      </c>
      <c r="L6" s="94"/>
      <c r="M6" s="94"/>
      <c r="N6" s="94"/>
    </row>
    <row r="7" spans="1:15" ht="26.25" thickBot="1" x14ac:dyDescent="0.3">
      <c r="A7" s="73" t="s">
        <v>158</v>
      </c>
      <c r="B7" s="74">
        <v>12000</v>
      </c>
      <c r="L7" s="94"/>
      <c r="M7" s="94"/>
      <c r="N7" s="94"/>
    </row>
    <row r="8" spans="1:15" ht="26.25" thickBot="1" x14ac:dyDescent="0.3">
      <c r="A8" s="73" t="s">
        <v>159</v>
      </c>
      <c r="B8" s="74">
        <v>8000</v>
      </c>
    </row>
    <row r="9" spans="1:15" ht="26.25" thickBot="1" x14ac:dyDescent="0.3">
      <c r="A9" s="73" t="s">
        <v>160</v>
      </c>
      <c r="B9" s="74">
        <v>25000</v>
      </c>
      <c r="J9" s="95" t="s">
        <v>161</v>
      </c>
      <c r="K9" s="95"/>
      <c r="L9" s="95"/>
      <c r="M9" s="95"/>
      <c r="N9" s="95">
        <f>COUNTIF(Table7[Sales Amount],"&gt;10000")</f>
        <v>14</v>
      </c>
      <c r="O9" s="95"/>
    </row>
    <row r="10" spans="1:15" ht="26.25" thickBot="1" x14ac:dyDescent="0.3">
      <c r="A10" s="73" t="s">
        <v>162</v>
      </c>
      <c r="B10" s="74">
        <v>3000</v>
      </c>
      <c r="J10" s="95"/>
      <c r="K10" s="95"/>
      <c r="L10" s="95"/>
      <c r="M10" s="95"/>
      <c r="N10" s="95"/>
      <c r="O10" s="95"/>
    </row>
    <row r="11" spans="1:15" ht="26.25" thickBot="1" x14ac:dyDescent="0.3">
      <c r="A11" s="75" t="s">
        <v>163</v>
      </c>
      <c r="B11" s="76">
        <v>15000</v>
      </c>
      <c r="J11" s="16"/>
      <c r="K11" s="16"/>
      <c r="L11" s="16"/>
      <c r="M11" s="16"/>
      <c r="N11" s="16"/>
      <c r="O11" s="16"/>
    </row>
    <row r="12" spans="1:15" ht="26.25" thickBot="1" x14ac:dyDescent="0.3">
      <c r="A12" s="73" t="s">
        <v>164</v>
      </c>
      <c r="B12" s="74">
        <v>16889</v>
      </c>
      <c r="J12" s="95" t="s">
        <v>165</v>
      </c>
      <c r="K12" s="95"/>
      <c r="L12" s="95"/>
      <c r="M12" s="95"/>
      <c r="N12" s="95">
        <f>COUNTIF(Table7[Sales Amount],"&lt;5000")</f>
        <v>3</v>
      </c>
      <c r="O12" s="95"/>
    </row>
    <row r="13" spans="1:15" ht="26.25" thickBot="1" x14ac:dyDescent="0.3">
      <c r="A13" s="73" t="s">
        <v>166</v>
      </c>
      <c r="B13" s="74">
        <v>17693</v>
      </c>
      <c r="J13" s="95"/>
      <c r="K13" s="95"/>
      <c r="L13" s="95"/>
      <c r="M13" s="95"/>
      <c r="N13" s="95"/>
      <c r="O13" s="95"/>
    </row>
    <row r="14" spans="1:15" ht="26.25" thickBot="1" x14ac:dyDescent="0.3">
      <c r="A14" s="73" t="s">
        <v>167</v>
      </c>
      <c r="B14" s="74">
        <v>12972</v>
      </c>
    </row>
    <row r="15" spans="1:15" ht="26.25" thickBot="1" x14ac:dyDescent="0.3">
      <c r="A15" s="73" t="s">
        <v>168</v>
      </c>
      <c r="B15" s="74">
        <v>5059</v>
      </c>
    </row>
    <row r="16" spans="1:15" ht="26.25" thickBot="1" x14ac:dyDescent="0.3">
      <c r="A16" s="73" t="s">
        <v>169</v>
      </c>
      <c r="B16" s="74">
        <v>12671</v>
      </c>
    </row>
    <row r="17" spans="1:2" ht="26.25" thickBot="1" x14ac:dyDescent="0.3">
      <c r="A17" s="75" t="s">
        <v>170</v>
      </c>
      <c r="B17" s="74">
        <v>17613</v>
      </c>
    </row>
    <row r="18" spans="1:2" ht="26.25" thickBot="1" x14ac:dyDescent="0.3">
      <c r="A18" s="73" t="s">
        <v>171</v>
      </c>
      <c r="B18" s="74">
        <v>19518</v>
      </c>
    </row>
    <row r="19" spans="1:2" ht="26.25" thickBot="1" x14ac:dyDescent="0.3">
      <c r="A19" s="73" t="s">
        <v>172</v>
      </c>
      <c r="B19" s="74">
        <v>17721</v>
      </c>
    </row>
    <row r="20" spans="1:2" ht="26.25" thickBot="1" x14ac:dyDescent="0.3">
      <c r="A20" s="73" t="s">
        <v>173</v>
      </c>
      <c r="B20" s="74">
        <v>16599</v>
      </c>
    </row>
    <row r="21" spans="1:2" ht="26.25" thickBot="1" x14ac:dyDescent="0.3">
      <c r="A21" s="73" t="s">
        <v>174</v>
      </c>
      <c r="B21" s="74">
        <v>14952</v>
      </c>
    </row>
    <row r="22" spans="1:2" ht="26.25" thickBot="1" x14ac:dyDescent="0.3">
      <c r="A22" s="73" t="s">
        <v>175</v>
      </c>
      <c r="B22" s="74">
        <v>9678</v>
      </c>
    </row>
    <row r="23" spans="1:2" ht="26.25" thickBot="1" x14ac:dyDescent="0.3">
      <c r="A23" s="75" t="s">
        <v>176</v>
      </c>
      <c r="B23" s="74">
        <v>9739</v>
      </c>
    </row>
    <row r="24" spans="1:2" ht="26.25" thickBot="1" x14ac:dyDescent="0.3">
      <c r="A24" s="73" t="s">
        <v>177</v>
      </c>
      <c r="B24" s="74">
        <v>10543</v>
      </c>
    </row>
    <row r="25" spans="1:2" ht="26.25" thickBot="1" x14ac:dyDescent="0.3">
      <c r="A25" s="73" t="s">
        <v>178</v>
      </c>
      <c r="B25" s="74">
        <v>15534</v>
      </c>
    </row>
    <row r="26" spans="1:2" ht="26.25" thickBot="1" x14ac:dyDescent="0.3">
      <c r="A26" s="73" t="s">
        <v>179</v>
      </c>
      <c r="B26" s="74">
        <v>5135</v>
      </c>
    </row>
    <row r="27" spans="1:2" ht="26.25" thickBot="1" x14ac:dyDescent="0.3">
      <c r="A27" s="73" t="s">
        <v>180</v>
      </c>
      <c r="B27" s="74">
        <v>9395</v>
      </c>
    </row>
    <row r="28" spans="1:2" ht="26.25" thickBot="1" x14ac:dyDescent="0.3">
      <c r="A28" s="73" t="s">
        <v>181</v>
      </c>
      <c r="B28" s="74">
        <v>2265</v>
      </c>
    </row>
  </sheetData>
  <mergeCells count="5">
    <mergeCell ref="L5:N7"/>
    <mergeCell ref="J9:M10"/>
    <mergeCell ref="N9:O10"/>
    <mergeCell ref="J12:M13"/>
    <mergeCell ref="N12:O1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BEED-5638-4156-B520-A61077C56687}">
  <dimension ref="A5:M10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21.42578125" bestFit="1" customWidth="1"/>
  </cols>
  <sheetData>
    <row r="5" spans="1:13" ht="18" thickBot="1" x14ac:dyDescent="0.3">
      <c r="A5" s="62" t="s">
        <v>182</v>
      </c>
      <c r="B5" s="64" t="s">
        <v>56</v>
      </c>
      <c r="J5" s="84" t="s">
        <v>183</v>
      </c>
      <c r="K5" s="85"/>
      <c r="L5" s="85"/>
      <c r="M5" s="85"/>
    </row>
    <row r="6" spans="1:13" ht="18" thickBot="1" x14ac:dyDescent="0.3">
      <c r="A6" s="65" t="s">
        <v>184</v>
      </c>
      <c r="B6" s="67">
        <v>22000</v>
      </c>
      <c r="J6" s="85"/>
      <c r="K6" s="85"/>
      <c r="L6" s="85"/>
      <c r="M6" s="85"/>
    </row>
    <row r="7" spans="1:13" ht="18" thickBot="1" x14ac:dyDescent="0.3">
      <c r="A7" s="65" t="s">
        <v>185</v>
      </c>
      <c r="B7" s="67">
        <v>3500</v>
      </c>
      <c r="J7" s="85"/>
      <c r="K7" s="85"/>
      <c r="L7" s="85"/>
      <c r="M7" s="85"/>
    </row>
    <row r="8" spans="1:13" ht="18" thickBot="1" x14ac:dyDescent="0.3">
      <c r="A8" s="65" t="s">
        <v>186</v>
      </c>
      <c r="B8" s="67">
        <v>58000</v>
      </c>
      <c r="J8" s="85"/>
      <c r="K8" s="85"/>
      <c r="L8" s="85"/>
      <c r="M8" s="85"/>
    </row>
    <row r="9" spans="1:13" ht="18" thickBot="1" x14ac:dyDescent="0.3">
      <c r="A9" s="65" t="s">
        <v>187</v>
      </c>
      <c r="B9" s="67">
        <v>1800</v>
      </c>
      <c r="J9" s="85"/>
      <c r="K9" s="85"/>
      <c r="L9" s="85"/>
      <c r="M9" s="85"/>
    </row>
    <row r="10" spans="1:13" ht="17.25" x14ac:dyDescent="0.25">
      <c r="A10" s="68" t="s">
        <v>188</v>
      </c>
      <c r="B10" s="70">
        <v>12000</v>
      </c>
    </row>
  </sheetData>
  <mergeCells count="1">
    <mergeCell ref="J5:M9"/>
  </mergeCells>
  <conditionalFormatting sqref="B6:B10">
    <cfRule type="cellIs" dxfId="28" priority="1" operator="lessThan">
      <formula>5000</formula>
    </cfRule>
    <cfRule type="cellIs" dxfId="27" priority="2" operator="greaterThan">
      <formula>20000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751A-D27F-44D3-BC95-FB75FD6E58BF}">
  <dimension ref="A5:N14"/>
  <sheetViews>
    <sheetView tabSelected="1" workbookViewId="0">
      <selection activeCell="M16" sqref="M16"/>
    </sheetView>
  </sheetViews>
  <sheetFormatPr defaultRowHeight="15" x14ac:dyDescent="0.25"/>
  <cols>
    <col min="1" max="1" width="11.5703125" customWidth="1"/>
    <col min="2" max="2" width="9.7109375" customWidth="1"/>
    <col min="3" max="3" width="10" customWidth="1"/>
  </cols>
  <sheetData>
    <row r="5" spans="1:14" ht="18" thickBot="1" x14ac:dyDescent="0.3">
      <c r="A5" s="62" t="s">
        <v>77</v>
      </c>
      <c r="B5" s="63" t="s">
        <v>4</v>
      </c>
      <c r="C5" s="64" t="s">
        <v>189</v>
      </c>
      <c r="K5" s="84" t="s">
        <v>190</v>
      </c>
      <c r="L5" s="85"/>
      <c r="M5" s="85"/>
      <c r="N5" s="85"/>
    </row>
    <row r="6" spans="1:14" ht="18" thickBot="1" x14ac:dyDescent="0.3">
      <c r="A6" s="65">
        <v>1</v>
      </c>
      <c r="B6" s="66" t="s">
        <v>139</v>
      </c>
      <c r="C6" s="67">
        <v>85</v>
      </c>
      <c r="K6" s="85"/>
      <c r="L6" s="85"/>
      <c r="M6" s="85"/>
      <c r="N6" s="85"/>
    </row>
    <row r="7" spans="1:14" ht="18" thickBot="1" x14ac:dyDescent="0.3">
      <c r="A7" s="65">
        <v>2</v>
      </c>
      <c r="B7" s="66" t="s">
        <v>191</v>
      </c>
      <c r="C7" s="67">
        <v>72</v>
      </c>
      <c r="K7" s="85"/>
      <c r="L7" s="85"/>
      <c r="M7" s="85"/>
      <c r="N7" s="85"/>
    </row>
    <row r="8" spans="1:14" ht="18" thickBot="1" x14ac:dyDescent="0.3">
      <c r="A8" s="65">
        <v>3</v>
      </c>
      <c r="B8" s="66" t="s">
        <v>192</v>
      </c>
      <c r="C8" s="67">
        <v>39</v>
      </c>
      <c r="K8" s="85"/>
      <c r="L8" s="85"/>
      <c r="M8" s="85"/>
      <c r="N8" s="85"/>
    </row>
    <row r="9" spans="1:14" ht="18" thickBot="1" x14ac:dyDescent="0.3">
      <c r="A9" s="65">
        <v>4</v>
      </c>
      <c r="B9" s="66" t="s">
        <v>193</v>
      </c>
      <c r="C9" s="67">
        <v>91</v>
      </c>
      <c r="K9" s="85"/>
      <c r="L9" s="85"/>
      <c r="M9" s="85"/>
      <c r="N9" s="85"/>
    </row>
    <row r="10" spans="1:14" ht="17.25" x14ac:dyDescent="0.25">
      <c r="A10" s="68">
        <v>5</v>
      </c>
      <c r="B10" s="69" t="s">
        <v>194</v>
      </c>
      <c r="C10" s="70">
        <v>28</v>
      </c>
      <c r="K10" s="85"/>
      <c r="L10" s="85"/>
      <c r="M10" s="85"/>
      <c r="N10" s="85"/>
    </row>
    <row r="14" spans="1:14" x14ac:dyDescent="0.25">
      <c r="M14" s="77"/>
    </row>
  </sheetData>
  <mergeCells count="1">
    <mergeCell ref="K5:N10"/>
  </mergeCells>
  <conditionalFormatting sqref="C6:C10">
    <cfRule type="cellIs" dxfId="19" priority="1" operator="lessThan">
      <formula>40</formula>
    </cfRule>
    <cfRule type="cellIs" dxfId="18" priority="2" operator="greaterThanOrEqual">
      <formula>75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5D8C-4744-4841-9859-4F473B9B29DD}">
  <dimension ref="A5:L10"/>
  <sheetViews>
    <sheetView workbookViewId="0">
      <selection activeCell="G28" sqref="G28"/>
    </sheetView>
  </sheetViews>
  <sheetFormatPr defaultRowHeight="15" x14ac:dyDescent="0.25"/>
  <cols>
    <col min="1" max="1" width="21.28515625" customWidth="1"/>
    <col min="2" max="2" width="10.140625" customWidth="1"/>
  </cols>
  <sheetData>
    <row r="5" spans="1:12" ht="18" thickBot="1" x14ac:dyDescent="0.3">
      <c r="A5" s="62" t="s">
        <v>133</v>
      </c>
      <c r="B5" s="64" t="s">
        <v>6</v>
      </c>
      <c r="J5" s="84" t="s">
        <v>195</v>
      </c>
      <c r="K5" s="85"/>
      <c r="L5" s="85"/>
    </row>
    <row r="6" spans="1:12" ht="18" thickBot="1" x14ac:dyDescent="0.3">
      <c r="A6" s="65" t="s">
        <v>196</v>
      </c>
      <c r="B6" s="67">
        <v>28000</v>
      </c>
      <c r="J6" s="85"/>
      <c r="K6" s="85"/>
      <c r="L6" s="85"/>
    </row>
    <row r="7" spans="1:12" ht="18" thickBot="1" x14ac:dyDescent="0.3">
      <c r="A7" s="65" t="s">
        <v>197</v>
      </c>
      <c r="B7" s="67">
        <v>34000</v>
      </c>
      <c r="J7" s="85"/>
      <c r="K7" s="85"/>
      <c r="L7" s="85"/>
    </row>
    <row r="8" spans="1:12" ht="18" thickBot="1" x14ac:dyDescent="0.3">
      <c r="A8" s="65" t="s">
        <v>198</v>
      </c>
      <c r="B8" s="67">
        <v>51000</v>
      </c>
      <c r="J8" s="85"/>
      <c r="K8" s="85"/>
      <c r="L8" s="85"/>
    </row>
    <row r="9" spans="1:12" ht="18" thickBot="1" x14ac:dyDescent="0.3">
      <c r="A9" s="65" t="s">
        <v>199</v>
      </c>
      <c r="B9" s="67">
        <v>47000</v>
      </c>
      <c r="J9" s="85"/>
      <c r="K9" s="85"/>
      <c r="L9" s="85"/>
    </row>
    <row r="10" spans="1:12" ht="17.25" x14ac:dyDescent="0.25">
      <c r="A10" s="68" t="s">
        <v>200</v>
      </c>
      <c r="B10" s="70">
        <v>29000</v>
      </c>
      <c r="J10" s="85"/>
      <c r="K10" s="85"/>
      <c r="L10" s="85"/>
    </row>
  </sheetData>
  <mergeCells count="1">
    <mergeCell ref="J5:L10"/>
  </mergeCells>
  <conditionalFormatting sqref="B6:B10">
    <cfRule type="cellIs" dxfId="9" priority="1" operator="lessThan">
      <formula>30000</formula>
    </cfRule>
    <cfRule type="cellIs" dxfId="8" priority="2" operator="between">
      <formula>30000</formula>
      <formula>49999</formula>
    </cfRule>
    <cfRule type="cellIs" dxfId="7" priority="3" operator="greaterThanOrEqual">
      <formula>50000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Sheet</vt:lpstr>
      <vt:lpstr>Sales Report</vt:lpstr>
      <vt:lpstr>Student Marks Sheet</vt:lpstr>
      <vt:lpstr>Sales Summary</vt:lpstr>
      <vt:lpstr>Department-wise Salary Analysis</vt:lpstr>
      <vt:lpstr> Attendance Sheet – COUNTIF</vt:lpstr>
      <vt:lpstr>Sales Count Logic</vt:lpstr>
      <vt:lpstr>Conditional Formatting – Sales</vt:lpstr>
      <vt:lpstr>Student Result Highlight</vt:lpstr>
      <vt:lpstr>Salary Band – Conditional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2026-01-25T07:32:16Z</dcterms:created>
  <dcterms:modified xsi:type="dcterms:W3CDTF">2026-01-25T07:51:06Z</dcterms:modified>
</cp:coreProperties>
</file>