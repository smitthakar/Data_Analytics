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11\Desktop\smit\Data_Analytics\Practical Task\"/>
    </mc:Choice>
  </mc:AlternateContent>
  <xr:revisionPtr revIDLastSave="0" documentId="13_ncr:1_{8C8EA291-EB00-456F-9EAF-184E2901A8EA}" xr6:coauthVersionLast="47" xr6:coauthVersionMax="47" xr10:uidLastSave="{00000000-0000-0000-0000-000000000000}"/>
  <bookViews>
    <workbookView xWindow="-120" yWindow="-120" windowWidth="29040" windowHeight="15720" activeTab="1" xr2:uid="{0B00C0AF-70CA-4CB0-8410-5F509A969031}"/>
  </bookViews>
  <sheets>
    <sheet name=" Employee_Data" sheetId="1" r:id="rId1"/>
    <sheet name="Department_Bonus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1" i="2" l="1" a="1"/>
  <c r="B41" i="2" s="1"/>
  <c r="B36" i="2"/>
  <c r="B31" i="2"/>
  <c r="B26" i="2"/>
  <c r="B22" i="2"/>
  <c r="B17" i="2"/>
  <c r="D17" i="2" s="1"/>
  <c r="H13" i="2"/>
  <c r="E13" i="2"/>
  <c r="E9" i="2" a="1"/>
  <c r="E9" i="2" s="1"/>
  <c r="C13" i="2"/>
  <c r="A13" i="2"/>
  <c r="M35" i="1"/>
  <c r="M29" i="1"/>
  <c r="M23" i="1"/>
  <c r="M16" i="1"/>
  <c r="M11" i="1"/>
  <c r="M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<sst xmlns="http://schemas.openxmlformats.org/spreadsheetml/2006/main" count="126" uniqueCount="46">
  <si>
    <t>EmployeeID</t>
  </si>
  <si>
    <t>Name</t>
  </si>
  <si>
    <t>Department</t>
  </si>
  <si>
    <t>Location</t>
  </si>
  <si>
    <t>Salary</t>
  </si>
  <si>
    <t>JoiningYear</t>
  </si>
  <si>
    <t>E101</t>
  </si>
  <si>
    <t>Rahul Sharma</t>
  </si>
  <si>
    <t>Sales</t>
  </si>
  <si>
    <t>Mumbai</t>
  </si>
  <si>
    <t>E102</t>
  </si>
  <si>
    <t>Ananya Gupta</t>
  </si>
  <si>
    <t>HR</t>
  </si>
  <si>
    <t>Delhi</t>
  </si>
  <si>
    <t>E103</t>
  </si>
  <si>
    <t>Rohit Verma</t>
  </si>
  <si>
    <t>IT</t>
  </si>
  <si>
    <t>Bangalore</t>
  </si>
  <si>
    <t>E104</t>
  </si>
  <si>
    <t>Neha Singh</t>
  </si>
  <si>
    <t>Finance</t>
  </si>
  <si>
    <t>Pune</t>
  </si>
  <si>
    <t>E105</t>
  </si>
  <si>
    <t>Aman Kumar</t>
  </si>
  <si>
    <t>Marketing</t>
  </si>
  <si>
    <t>E106</t>
  </si>
  <si>
    <t>Pooja Mehta</t>
  </si>
  <si>
    <t>Chennai</t>
  </si>
  <si>
    <t>E107</t>
  </si>
  <si>
    <t>Suresh Rao</t>
  </si>
  <si>
    <t>Hyderabad</t>
  </si>
  <si>
    <t>E108</t>
  </si>
  <si>
    <t>Kavita Iyer</t>
  </si>
  <si>
    <t>1.Find the Name of employee using EmployeeID from Search_Input.
2.Find the Department of employee with ID E103.
3.Find the Salary of employee Neha Singh using VLOOKUP.
4.Get the Location of employee E107.
5.If EmployeeID is not found, display "Not Found".
6.Find the JoiningYear of employee E101.</t>
  </si>
  <si>
    <t>Employee Id</t>
  </si>
  <si>
    <t xml:space="preserve">Employee Id </t>
  </si>
  <si>
    <t>E109</t>
  </si>
  <si>
    <t>Joining Year</t>
  </si>
  <si>
    <t>Bonus %</t>
  </si>
  <si>
    <t>7.Find the Bonus % for IT department.
8.Find the Bonus % for Finance department.
9.Calculate Bonus Amount for employee E104
(Bonus Amount = Salary × Bonus %).
10.If department is invalid, display "No Bonus Data"</t>
  </si>
  <si>
    <t>Financeasdf</t>
  </si>
  <si>
    <t>employee id</t>
  </si>
  <si>
    <t>Bonus</t>
  </si>
  <si>
    <t>EmployeeId</t>
  </si>
  <si>
    <t>E1012</t>
  </si>
  <si>
    <t>Department_Bonus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</si>
</sst>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2"/>
      <name val="Segoe UI"/>
      <family val="2"/>
    </font>
    <font>
      <sz val="12"/>
      <color theme="1"/>
      <name val="Segoe UI"/>
      <family val="2"/>
    </font>
    <font>
      <sz val="12"/>
      <color theme="1"/>
      <name val="Calibri"/>
      <family val="2"/>
      <scheme val="minor"/>
    </font>
    <font>
      <sz val="14"/>
      <color theme="1"/>
      <name val="Calibri"/>
      <family val="2"/>
      <scheme val="minor"/>
    </font>
    <font>
      <b/>
      <sz val="14"/>
      <color theme="1"/>
      <name val="Calibri"/>
      <family val="2"/>
      <scheme val="minor"/>
    </font>
    <font>
      <sz val="11"/>
      <color theme="1"/>
      <name val="Arial"/>
      <family val="2"/>
    </font>
    <font>
      <sz val="12"/>
      <name val="Arial"/>
      <family val="2"/>
    </font>
    <font>
      <sz val="12"/>
      <color theme="1"/>
      <name val="Arial"/>
      <family val="2"/>
    </font>
    <font>
      <sz val="11"/>
      <color theme="1"/>
      <name val="Arial"/>
      <family val="2"/>
    </font>
    <font>
      <sz val="14"/>
      <color theme="1"/>
      <name val="Arial"/>
      <family val="2"/>
    </font>
  </fonts>
  <fills count="5">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theme="5" tint="0.59999389629810485"/>
        <bgColor indexed="64"/>
      </patternFill>
    </fill>
  </fills>
  <borders count="11">
    <border>
      <left/>
      <right/>
      <top/>
      <bottom/>
      <diagonal/>
    </border>
    <border>
      <left style="medium">
        <color rgb="FF3D444D"/>
      </left>
      <right style="medium">
        <color rgb="FF3D444D"/>
      </right>
      <top style="medium">
        <color rgb="FF3D444D"/>
      </top>
      <bottom style="medium">
        <color rgb="FF3D444D"/>
      </bottom>
      <diagonal/>
    </border>
    <border>
      <left/>
      <right style="medium">
        <color rgb="FF3D444D"/>
      </right>
      <top style="medium">
        <color rgb="FF3D444D"/>
      </top>
      <bottom style="medium">
        <color rgb="FF3D444D"/>
      </bottom>
      <diagonal/>
    </border>
    <border>
      <left style="medium">
        <color rgb="FF3D444D"/>
      </left>
      <right/>
      <top style="medium">
        <color rgb="FF3D444D"/>
      </top>
      <bottom style="medium">
        <color rgb="FF3D444D"/>
      </bottom>
      <diagonal/>
    </border>
    <border>
      <left/>
      <right style="medium">
        <color rgb="FF3D444D"/>
      </right>
      <top/>
      <bottom style="medium">
        <color rgb="FF3D444D"/>
      </bottom>
      <diagonal/>
    </border>
    <border>
      <left style="medium">
        <color rgb="FF3D444D"/>
      </left>
      <right style="medium">
        <color rgb="FF3D444D"/>
      </right>
      <top/>
      <bottom style="medium">
        <color rgb="FF3D444D"/>
      </bottom>
      <diagonal/>
    </border>
    <border>
      <left style="medium">
        <color rgb="FF3D444D"/>
      </left>
      <right/>
      <top/>
      <bottom style="medium">
        <color rgb="FF3D444D"/>
      </bottom>
      <diagonal/>
    </border>
    <border>
      <left/>
      <right style="medium">
        <color rgb="FF3D444D"/>
      </right>
      <top style="medium">
        <color rgb="FF3D444D"/>
      </top>
      <bottom/>
      <diagonal/>
    </border>
    <border>
      <left style="medium">
        <color rgb="FF3D444D"/>
      </left>
      <right style="medium">
        <color rgb="FF3D444D"/>
      </right>
      <top style="medium">
        <color rgb="FF3D444D"/>
      </top>
      <bottom/>
      <diagonal/>
    </border>
    <border>
      <left style="medium">
        <color rgb="FF3D444D"/>
      </left>
      <right/>
      <top style="medium">
        <color rgb="FF3D444D"/>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1">
    <xf numFmtId="0" fontId="0" fillId="0" borderId="0" xfId="0"/>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5" fillId="4" borderId="10" xfId="0" applyFont="1" applyFill="1" applyBorder="1" applyAlignment="1">
      <alignment horizontal="center" vertical="center"/>
    </xf>
    <xf numFmtId="0" fontId="4" fillId="0" borderId="10" xfId="0" applyFont="1" applyBorder="1" applyAlignment="1">
      <alignment horizontal="center" vertical="center"/>
    </xf>
    <xf numFmtId="0" fontId="6" fillId="4" borderId="10" xfId="0" applyFont="1" applyFill="1" applyBorder="1" applyAlignment="1">
      <alignment horizontal="center" vertical="center"/>
    </xf>
    <xf numFmtId="0" fontId="7" fillId="0" borderId="0" xfId="0" applyFont="1"/>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0" fillId="3" borderId="4" xfId="0" applyFont="1" applyFill="1" applyBorder="1" applyAlignment="1">
      <alignment vertical="center" wrapText="1"/>
    </xf>
    <xf numFmtId="0" fontId="10" fillId="3" borderId="5" xfId="0" applyFont="1" applyFill="1" applyBorder="1" applyAlignment="1">
      <alignment vertical="center" wrapText="1"/>
    </xf>
    <xf numFmtId="0" fontId="10" fillId="3" borderId="6" xfId="0" applyFont="1" applyFill="1" applyBorder="1" applyAlignment="1">
      <alignment vertical="center" wrapText="1"/>
    </xf>
    <xf numFmtId="0" fontId="7" fillId="0" borderId="0" xfId="0" applyFont="1" applyAlignment="1">
      <alignment horizontal="left" vertical="center" wrapText="1"/>
    </xf>
    <xf numFmtId="0" fontId="7" fillId="0" borderId="0" xfId="0" applyFont="1" applyAlignment="1">
      <alignment horizontal="left" vertical="center"/>
    </xf>
    <xf numFmtId="0" fontId="7" fillId="2" borderId="7" xfId="0" applyFont="1" applyFill="1" applyBorder="1" applyAlignment="1">
      <alignment horizontal="center" vertical="center" wrapText="1"/>
    </xf>
    <xf numFmtId="9" fontId="7" fillId="2" borderId="8" xfId="0" applyNumberFormat="1" applyFont="1" applyFill="1" applyBorder="1" applyAlignment="1">
      <alignment horizontal="center" vertical="center" wrapText="1"/>
    </xf>
    <xf numFmtId="9" fontId="7" fillId="2" borderId="9" xfId="0" applyNumberFormat="1"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11" fillId="3" borderId="0" xfId="0" applyFont="1" applyFill="1" applyAlignment="1">
      <alignment horizontal="center" vertical="center"/>
    </xf>
    <xf numFmtId="0" fontId="11" fillId="3" borderId="0" xfId="0" applyFont="1" applyFill="1" applyAlignment="1">
      <alignment horizontal="center"/>
    </xf>
    <xf numFmtId="0" fontId="11" fillId="3" borderId="0" xfId="0" applyFont="1" applyFill="1" applyAlignment="1">
      <alignment horizontal="center"/>
    </xf>
    <xf numFmtId="9" fontId="11" fillId="0" borderId="0" xfId="1" applyFont="1" applyAlignment="1">
      <alignment horizontal="center" vertical="center"/>
    </xf>
    <xf numFmtId="9" fontId="11" fillId="0" borderId="0" xfId="1"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7" fillId="0" borderId="0" xfId="0" applyFont="1" applyAlignment="1">
      <alignment horizontal="center"/>
    </xf>
    <xf numFmtId="0" fontId="7" fillId="0" borderId="0" xfId="0" applyFont="1" applyAlignment="1">
      <alignment horizontal="left"/>
    </xf>
    <xf numFmtId="0" fontId="11" fillId="3" borderId="10" xfId="0" applyFont="1" applyFill="1" applyBorder="1" applyAlignment="1">
      <alignment horizontal="center" vertical="center"/>
    </xf>
    <xf numFmtId="0" fontId="11" fillId="0" borderId="10" xfId="0" applyFont="1" applyBorder="1" applyAlignment="1">
      <alignment horizontal="center" vertical="center"/>
    </xf>
    <xf numFmtId="0" fontId="11" fillId="3" borderId="10" xfId="0" applyFont="1" applyFill="1" applyBorder="1" applyAlignment="1">
      <alignment horizontal="center" vertical="center"/>
    </xf>
    <xf numFmtId="0" fontId="11" fillId="0" borderId="10" xfId="0" applyFont="1" applyBorder="1" applyAlignment="1">
      <alignment horizontal="center" vertical="center"/>
    </xf>
    <xf numFmtId="0" fontId="11" fillId="3" borderId="10" xfId="0" applyFont="1" applyFill="1" applyBorder="1"/>
    <xf numFmtId="0" fontId="11" fillId="0" borderId="10" xfId="0" applyFont="1" applyBorder="1"/>
    <xf numFmtId="0" fontId="11" fillId="3" borderId="10" xfId="0" applyFont="1" applyFill="1" applyBorder="1" applyAlignment="1">
      <alignment wrapText="1"/>
    </xf>
    <xf numFmtId="0" fontId="7" fillId="0" borderId="10" xfId="0" applyFont="1" applyBorder="1"/>
    <xf numFmtId="9" fontId="7" fillId="0" borderId="10" xfId="1" applyFont="1" applyBorder="1"/>
  </cellXfs>
  <cellStyles count="2">
    <cellStyle name="Normal" xfId="0" builtinId="0"/>
    <cellStyle name="Percent" xfId="1" builtinId="5"/>
  </cellStyles>
  <dxfs count="34">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7" tint="0.39997558519241921"/>
        </patternFill>
      </fill>
      <alignment horizontal="center" vertical="center" textRotation="0" wrapText="1" indent="0" justifyLastLine="0" shrinkToFit="0" readingOrder="0"/>
      <border diagonalUp="0" diagonalDown="0" outline="0">
        <left style="medium">
          <color rgb="FF3D444D"/>
        </left>
        <right style="medium">
          <color rgb="FF3D444D"/>
        </right>
        <top/>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top style="medium">
          <color rgb="FF3D444D"/>
        </top>
        <bottom style="medium">
          <color rgb="FF3D444D"/>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style="medium">
          <color rgb="FF3D444D"/>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style="medium">
          <color rgb="FF3D444D"/>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style="medium">
          <color rgb="FF3D444D"/>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style="medium">
          <color rgb="FF3D444D"/>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style="medium">
          <color rgb="FF3D444D"/>
        </right>
        <top style="medium">
          <color rgb="FF3D444D"/>
        </top>
        <bottom style="medium">
          <color rgb="FF3D444D"/>
        </bottom>
      </border>
    </dxf>
    <dxf>
      <font>
        <strike val="0"/>
        <outline val="0"/>
        <shadow val="0"/>
        <u val="none"/>
        <vertAlign val="baseline"/>
        <name val="Arial"/>
        <family val="2"/>
        <scheme val="none"/>
      </font>
      <fill>
        <patternFill patternType="solid">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theme="7" tint="0.39997558519241921"/>
        </patternFill>
      </fill>
      <alignment horizontal="general" vertical="center" textRotation="0" wrapText="1" indent="0" justifyLastLine="0" shrinkToFit="0" readingOrder="0"/>
      <border diagonalUp="0" diagonalDown="0" outline="0">
        <left style="medium">
          <color rgb="FF3D444D"/>
        </left>
        <right style="medium">
          <color rgb="FF3D444D"/>
        </right>
        <top/>
        <bottom/>
      </border>
    </dxf>
    <dxf>
      <font>
        <strike val="0"/>
        <outline val="0"/>
        <shadow val="0"/>
        <u val="none"/>
        <vertAlign val="baseline"/>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top style="medium">
          <color rgb="FF3D444D"/>
        </top>
        <bottom/>
      </border>
    </dxf>
    <dxf>
      <font>
        <strike val="0"/>
        <outline val="0"/>
        <shadow val="0"/>
        <u val="none"/>
        <vertAlign val="baseline"/>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border>
    </dxf>
    <dxf>
      <font>
        <strike val="0"/>
        <outline val="0"/>
        <shadow val="0"/>
        <u val="none"/>
        <vertAlign val="baseline"/>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border>
    </dxf>
    <dxf>
      <font>
        <strike val="0"/>
        <outline val="0"/>
        <shadow val="0"/>
        <u val="none"/>
        <vertAlign val="baseline"/>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border>
    </dxf>
    <dxf>
      <font>
        <strike val="0"/>
        <outline val="0"/>
        <shadow val="0"/>
        <u val="none"/>
        <vertAlign val="baseline"/>
        <name val="Arial"/>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border>
    </dxf>
    <dxf>
      <font>
        <strike val="0"/>
        <outline val="0"/>
        <shadow val="0"/>
        <u val="none"/>
        <vertAlign val="baseline"/>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style="medium">
          <color rgb="FF3D444D"/>
        </right>
        <top style="medium">
          <color rgb="FF3D444D"/>
        </top>
        <bottom/>
      </border>
    </dxf>
    <dxf>
      <font>
        <color rgb="FF9C0006"/>
      </font>
      <fill>
        <patternFill>
          <bgColor rgb="FFFFC7CE"/>
        </patternFill>
      </fill>
    </dxf>
    <dxf>
      <border outline="0">
        <top style="medium">
          <color rgb="FF3D444D"/>
        </top>
      </border>
    </dxf>
    <dxf>
      <border outline="0">
        <bottom style="medium">
          <color rgb="FF3D444D"/>
        </bottom>
      </border>
    </dxf>
    <dxf>
      <border outline="0">
        <left style="medium">
          <color rgb="FF3D444D"/>
        </left>
        <right style="medium">
          <color rgb="FF3D444D"/>
        </right>
        <top style="medium">
          <color rgb="FF3D444D"/>
        </top>
        <bottom style="medium">
          <color rgb="FF3D444D"/>
        </bottom>
      </border>
    </dxf>
    <dxf>
      <border outline="0">
        <top style="medium">
          <color rgb="FF3D444D"/>
        </top>
      </border>
    </dxf>
    <dxf>
      <border outline="0">
        <bottom style="medium">
          <color rgb="FF3D444D"/>
        </bottom>
      </border>
    </dxf>
    <dxf>
      <border outline="0">
        <left style="medium">
          <color rgb="FF3D444D"/>
        </left>
        <right style="medium">
          <color rgb="FF3D444D"/>
        </right>
        <top style="medium">
          <color rgb="FF3D444D"/>
        </top>
        <bottom style="medium">
          <color rgb="FF3D444D"/>
        </bottom>
      </border>
    </dxf>
    <dxf>
      <font>
        <b val="0"/>
        <i val="0"/>
        <strike val="0"/>
        <condense val="0"/>
        <extend val="0"/>
        <outline val="0"/>
        <shadow val="0"/>
        <u val="none"/>
        <vertAlign val="baseline"/>
        <sz val="12"/>
        <color theme="1"/>
        <name val="Segoe UI"/>
        <family val="2"/>
        <scheme val="none"/>
      </font>
      <fill>
        <patternFill patternType="solid">
          <fgColor indexed="64"/>
          <bgColor theme="0"/>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Segoe UI"/>
        <family val="2"/>
        <scheme val="none"/>
      </font>
      <fill>
        <patternFill patternType="solid">
          <fgColor indexed="64"/>
          <bgColor theme="7" tint="0.39997558519241921"/>
        </patternFill>
      </fill>
      <alignment horizontal="center" vertical="center" textRotation="0" wrapText="1" indent="0" justifyLastLine="0" shrinkToFit="0" readingOrder="0"/>
      <border diagonalUp="0" diagonalDown="0" outline="0">
        <left style="medium">
          <color rgb="FF3D444D"/>
        </left>
        <right style="medium">
          <color rgb="FF3D444D"/>
        </right>
        <top/>
        <bottom/>
      </border>
    </dxf>
    <dxf>
      <font>
        <b val="0"/>
        <i val="0"/>
        <strike val="0"/>
        <condense val="0"/>
        <extend val="0"/>
        <outline val="0"/>
        <shadow val="0"/>
        <u val="none"/>
        <vertAlign val="baseline"/>
        <sz val="12"/>
        <color theme="1"/>
        <name val="Segoe U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top style="medium">
          <color rgb="FF3D444D"/>
        </top>
        <bottom style="medium">
          <color rgb="FF3D444D"/>
        </bottom>
      </border>
    </dxf>
    <dxf>
      <font>
        <b val="0"/>
        <i val="0"/>
        <strike val="0"/>
        <condense val="0"/>
        <extend val="0"/>
        <outline val="0"/>
        <shadow val="0"/>
        <u val="none"/>
        <vertAlign val="baseline"/>
        <sz val="12"/>
        <color theme="1"/>
        <name val="Segoe U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style="medium">
          <color rgb="FF3D444D"/>
        </bottom>
      </border>
    </dxf>
    <dxf>
      <font>
        <b val="0"/>
        <i val="0"/>
        <strike val="0"/>
        <condense val="0"/>
        <extend val="0"/>
        <outline val="0"/>
        <shadow val="0"/>
        <u val="none"/>
        <vertAlign val="baseline"/>
        <sz val="12"/>
        <color theme="1"/>
        <name val="Segoe U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style="medium">
          <color rgb="FF3D444D"/>
        </bottom>
      </border>
    </dxf>
    <dxf>
      <font>
        <b val="0"/>
        <i val="0"/>
        <strike val="0"/>
        <condense val="0"/>
        <extend val="0"/>
        <outline val="0"/>
        <shadow val="0"/>
        <u val="none"/>
        <vertAlign val="baseline"/>
        <sz val="12"/>
        <color theme="1"/>
        <name val="Segoe U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style="medium">
          <color rgb="FF3D444D"/>
        </bottom>
      </border>
    </dxf>
    <dxf>
      <font>
        <b val="0"/>
        <i val="0"/>
        <strike val="0"/>
        <condense val="0"/>
        <extend val="0"/>
        <outline val="0"/>
        <shadow val="0"/>
        <u val="none"/>
        <vertAlign val="baseline"/>
        <sz val="12"/>
        <color theme="1"/>
        <name val="Segoe U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medium">
          <color rgb="FF3D444D"/>
        </left>
        <right style="medium">
          <color rgb="FF3D444D"/>
        </right>
        <top style="medium">
          <color rgb="FF3D444D"/>
        </top>
        <bottom style="medium">
          <color rgb="FF3D444D"/>
        </bottom>
      </border>
    </dxf>
    <dxf>
      <font>
        <b val="0"/>
        <i val="0"/>
        <strike val="0"/>
        <condense val="0"/>
        <extend val="0"/>
        <outline val="0"/>
        <shadow val="0"/>
        <u val="none"/>
        <vertAlign val="baseline"/>
        <sz val="12"/>
        <color theme="1"/>
        <name val="Segoe U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style="medium">
          <color rgb="FF3D444D"/>
        </right>
        <top style="medium">
          <color rgb="FF3D444D"/>
        </top>
        <bottom style="medium">
          <color rgb="FF3D444D"/>
        </bottom>
      </border>
    </dxf>
    <dxf>
      <border outline="0">
        <top style="medium">
          <color rgb="FF3D444D"/>
        </top>
      </border>
    </dxf>
    <dxf>
      <border outline="0">
        <bottom style="medium">
          <color rgb="FF3D444D"/>
        </bottom>
      </border>
    </dxf>
    <dxf>
      <border outline="0">
        <left style="medium">
          <color rgb="FF3D444D"/>
        </left>
        <right style="medium">
          <color rgb="FF3D444D"/>
        </right>
        <top style="medium">
          <color rgb="FF3D444D"/>
        </top>
        <bottom style="medium">
          <color rgb="FF3D444D"/>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5CEE04-99A3-42A8-A55D-7608A1C225DF}" name="Table2" displayName="Table2" ref="A5:F13" totalsRowShown="0" headerRowDxfId="24" dataDxfId="23" headerRowBorderDxfId="32" tableBorderDxfId="33" totalsRowBorderDxfId="31">
  <autoFilter ref="A5:F13" xr:uid="{FA5CEE04-99A3-42A8-A55D-7608A1C225DF}"/>
  <tableColumns count="6">
    <tableColumn id="1" xr3:uid="{DC3E4A91-BFFF-47FA-B1BA-1DBC5453E3B2}" name="EmployeeID" dataDxfId="30"/>
    <tableColumn id="2" xr3:uid="{7DA7B0C6-9698-4A69-ABDD-4FD425057F75}" name="Name" dataDxfId="29"/>
    <tableColumn id="3" xr3:uid="{4DB39EE7-B845-4E18-BAEE-4FE4C859D15D}" name="Department" dataDxfId="28"/>
    <tableColumn id="4" xr3:uid="{0DFDE812-9323-43C5-A5B6-B358AF4CCC46}" name="Location" dataDxfId="27"/>
    <tableColumn id="5" xr3:uid="{7024EABF-29AD-4FB6-B44A-FDE13F446B86}" name="Salary" dataDxfId="26"/>
    <tableColumn id="6" xr3:uid="{E0D5E37B-8153-4A28-83AA-D6A7E3062321}" name="JoiningYear"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3897AD-365F-42AC-A10F-C7A328E6BAF3}" name="Table3" displayName="Table3" ref="A7:F8" totalsRowShown="0" headerRowDxfId="9" dataDxfId="8" headerRowBorderDxfId="18" tableBorderDxfId="19" totalsRowBorderDxfId="17">
  <autoFilter ref="A7:F8" xr:uid="{D93897AD-365F-42AC-A10F-C7A328E6BAF3}"/>
  <tableColumns count="6">
    <tableColumn id="1" xr3:uid="{B45C879D-A429-4218-A325-80660DEA2041}" name="Department" dataDxfId="15"/>
    <tableColumn id="2" xr3:uid="{F3C80B8D-065B-46B0-94C4-6AF4288C5FDE}" name="Sales" dataDxfId="14"/>
    <tableColumn id="3" xr3:uid="{311CF998-C493-44C7-BCA6-E028B149A96C}" name="HR" dataDxfId="13"/>
    <tableColumn id="4" xr3:uid="{8DC5D833-B226-48AE-8D16-36AFCF7F7DFD}" name="IT" dataDxfId="12"/>
    <tableColumn id="5" xr3:uid="{D5639782-CC99-433E-8E30-CCC2A318925A}" name="Finance" dataDxfId="11"/>
    <tableColumn id="6" xr3:uid="{61A36B99-32CD-4C2D-8250-C0B315307D8A}" name="Marketing"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C63271-9EF0-4239-9AFD-3542DA87F3D5}" name="Table27" displayName="Table27" ref="R2:W10" totalsRowShown="0" headerRowDxfId="1" dataDxfId="0" headerRowBorderDxfId="21" tableBorderDxfId="22" totalsRowBorderDxfId="20">
  <autoFilter ref="R2:W10" xr:uid="{44C63271-9EF0-4239-9AFD-3542DA87F3D5}"/>
  <tableColumns count="6">
    <tableColumn id="1" xr3:uid="{B7033FB2-8E22-4F9E-9BFE-A6DD4D86922C}" name="EmployeeID" dataDxfId="7"/>
    <tableColumn id="2" xr3:uid="{FF1B8776-528C-4A6B-8C03-A8BF79B50682}" name="Name" dataDxfId="6"/>
    <tableColumn id="3" xr3:uid="{46D70763-8F9A-46C2-8846-DEA0F175D6E6}" name="Department" dataDxfId="5"/>
    <tableColumn id="4" xr3:uid="{98FA1FB2-63BD-456E-A8B4-1FF15C06B3B4}" name="Location" dataDxfId="4"/>
    <tableColumn id="5" xr3:uid="{C46BFA4C-381D-4481-94C9-D4CA0655CC30}" name="Salary" dataDxfId="3"/>
    <tableColumn id="6" xr3:uid="{A7140A83-D4EC-45ED-8B90-63CAA7F48326}" name="JoiningYear"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6832-E2A3-423F-86D2-C98815E3E028}">
  <dimension ref="A5:N36"/>
  <sheetViews>
    <sheetView workbookViewId="0">
      <selection activeCell="M16" sqref="M16:N17"/>
    </sheetView>
  </sheetViews>
  <sheetFormatPr defaultRowHeight="15" x14ac:dyDescent="0.25"/>
  <cols>
    <col min="1" max="1" width="19.28515625" bestFit="1" customWidth="1"/>
    <col min="2" max="2" width="12.42578125" bestFit="1" customWidth="1"/>
    <col min="3" max="3" width="19.28515625" bestFit="1" customWidth="1"/>
    <col min="4" max="4" width="15.42578125" bestFit="1" customWidth="1"/>
    <col min="5" max="5" width="12.85546875" bestFit="1" customWidth="1"/>
    <col min="6" max="6" width="19.140625" bestFit="1" customWidth="1"/>
  </cols>
  <sheetData>
    <row r="5" spans="1:14" ht="18" thickBot="1" x14ac:dyDescent="0.3">
      <c r="A5" s="2" t="s">
        <v>0</v>
      </c>
      <c r="B5" s="1" t="s">
        <v>1</v>
      </c>
      <c r="C5" s="1" t="s">
        <v>2</v>
      </c>
      <c r="D5" s="1" t="s">
        <v>3</v>
      </c>
      <c r="E5" s="1" t="s">
        <v>4</v>
      </c>
      <c r="F5" s="3" t="s">
        <v>5</v>
      </c>
    </row>
    <row r="6" spans="1:14" ht="35.25" thickBot="1" x14ac:dyDescent="0.3">
      <c r="A6" s="4" t="s">
        <v>6</v>
      </c>
      <c r="B6" s="5" t="s">
        <v>7</v>
      </c>
      <c r="C6" s="5" t="s">
        <v>8</v>
      </c>
      <c r="D6" s="5" t="s">
        <v>9</v>
      </c>
      <c r="E6" s="5">
        <v>45000</v>
      </c>
      <c r="F6" s="6">
        <v>2019</v>
      </c>
      <c r="J6">
        <v>1</v>
      </c>
      <c r="K6" s="14" t="s">
        <v>34</v>
      </c>
      <c r="L6" s="14"/>
      <c r="M6" s="14" t="s">
        <v>1</v>
      </c>
      <c r="N6" s="14"/>
    </row>
    <row r="7" spans="1:14" ht="35.25" thickBot="1" x14ac:dyDescent="0.3">
      <c r="A7" s="4" t="s">
        <v>10</v>
      </c>
      <c r="B7" s="5" t="s">
        <v>11</v>
      </c>
      <c r="C7" s="5" t="s">
        <v>12</v>
      </c>
      <c r="D7" s="5" t="s">
        <v>13</v>
      </c>
      <c r="E7" s="5">
        <v>52000</v>
      </c>
      <c r="F7" s="6">
        <v>2018</v>
      </c>
      <c r="K7" s="13" t="s">
        <v>6</v>
      </c>
      <c r="L7" s="13"/>
      <c r="M7" s="13" t="str">
        <f>VLOOKUP(K7,Table2[#All],2,0)</f>
        <v>Rahul Sharma</v>
      </c>
      <c r="N7" s="13"/>
    </row>
    <row r="8" spans="1:14" ht="35.25" thickBot="1" x14ac:dyDescent="0.3">
      <c r="A8" s="4" t="s">
        <v>14</v>
      </c>
      <c r="B8" s="5" t="s">
        <v>15</v>
      </c>
      <c r="C8" s="5" t="s">
        <v>16</v>
      </c>
      <c r="D8" s="5" t="s">
        <v>17</v>
      </c>
      <c r="E8" s="5">
        <v>65000</v>
      </c>
      <c r="F8" s="6">
        <v>2020</v>
      </c>
    </row>
    <row r="9" spans="1:14" ht="35.25" thickBot="1" x14ac:dyDescent="0.3">
      <c r="A9" s="4" t="s">
        <v>18</v>
      </c>
      <c r="B9" s="5" t="s">
        <v>19</v>
      </c>
      <c r="C9" s="5" t="s">
        <v>20</v>
      </c>
      <c r="D9" s="5" t="s">
        <v>21</v>
      </c>
      <c r="E9" s="5">
        <v>58000</v>
      </c>
      <c r="F9" s="6">
        <v>2017</v>
      </c>
    </row>
    <row r="10" spans="1:14" ht="35.25" thickBot="1" x14ac:dyDescent="0.3">
      <c r="A10" s="4" t="s">
        <v>22</v>
      </c>
      <c r="B10" s="5" t="s">
        <v>23</v>
      </c>
      <c r="C10" s="5" t="s">
        <v>24</v>
      </c>
      <c r="D10" s="5" t="s">
        <v>9</v>
      </c>
      <c r="E10" s="5">
        <v>48000</v>
      </c>
      <c r="F10" s="6">
        <v>2021</v>
      </c>
      <c r="J10">
        <v>2</v>
      </c>
      <c r="K10" s="14" t="s">
        <v>34</v>
      </c>
      <c r="L10" s="14"/>
      <c r="M10" s="14" t="s">
        <v>2</v>
      </c>
      <c r="N10" s="14"/>
    </row>
    <row r="11" spans="1:14" ht="35.25" thickBot="1" x14ac:dyDescent="0.3">
      <c r="A11" s="4" t="s">
        <v>25</v>
      </c>
      <c r="B11" s="5" t="s">
        <v>26</v>
      </c>
      <c r="C11" s="5" t="s">
        <v>16</v>
      </c>
      <c r="D11" s="5" t="s">
        <v>27</v>
      </c>
      <c r="E11" s="5">
        <v>62000</v>
      </c>
      <c r="F11" s="6">
        <v>2019</v>
      </c>
      <c r="K11" s="13" t="s">
        <v>6</v>
      </c>
      <c r="L11" s="13"/>
      <c r="M11" s="13" t="str">
        <f>VLOOKUP(K11,Table2[],3,0)</f>
        <v>Sales</v>
      </c>
      <c r="N11" s="13"/>
    </row>
    <row r="12" spans="1:14" ht="35.25" thickBot="1" x14ac:dyDescent="0.3">
      <c r="A12" s="4" t="s">
        <v>28</v>
      </c>
      <c r="B12" s="5" t="s">
        <v>29</v>
      </c>
      <c r="C12" s="5" t="s">
        <v>8</v>
      </c>
      <c r="D12" s="5" t="s">
        <v>30</v>
      </c>
      <c r="E12" s="5">
        <v>47000</v>
      </c>
      <c r="F12" s="6">
        <v>2020</v>
      </c>
    </row>
    <row r="13" spans="1:14" ht="17.25" x14ac:dyDescent="0.25">
      <c r="A13" s="7" t="s">
        <v>31</v>
      </c>
      <c r="B13" s="8" t="s">
        <v>32</v>
      </c>
      <c r="C13" s="8" t="s">
        <v>12</v>
      </c>
      <c r="D13" s="8" t="s">
        <v>17</v>
      </c>
      <c r="E13" s="8">
        <v>54000</v>
      </c>
      <c r="F13" s="9">
        <v>2016</v>
      </c>
    </row>
    <row r="14" spans="1:14" x14ac:dyDescent="0.25">
      <c r="J14">
        <v>3</v>
      </c>
      <c r="K14" s="14" t="s">
        <v>1</v>
      </c>
      <c r="L14" s="14"/>
      <c r="M14" s="14" t="s">
        <v>4</v>
      </c>
      <c r="N14" s="14"/>
    </row>
    <row r="15" spans="1:14" x14ac:dyDescent="0.25">
      <c r="K15" s="14"/>
      <c r="L15" s="14"/>
      <c r="M15" s="14"/>
      <c r="N15" s="14"/>
    </row>
    <row r="16" spans="1:14" x14ac:dyDescent="0.25">
      <c r="K16" s="13" t="s">
        <v>19</v>
      </c>
      <c r="L16" s="13"/>
      <c r="M16" s="13" t="str">
        <f>VLOOKUP(K16,Table2[[Name]:[JoiningYear]],2,0)</f>
        <v>Finance</v>
      </c>
      <c r="N16" s="13"/>
    </row>
    <row r="17" spans="1:14" x14ac:dyDescent="0.25">
      <c r="A17" s="10" t="s">
        <v>33</v>
      </c>
      <c r="B17" s="11"/>
      <c r="C17" s="11"/>
      <c r="D17" s="11"/>
      <c r="K17" s="13"/>
      <c r="L17" s="13"/>
      <c r="M17" s="13"/>
      <c r="N17" s="13"/>
    </row>
    <row r="18" spans="1:14" x14ac:dyDescent="0.25">
      <c r="A18" s="11"/>
      <c r="B18" s="11"/>
      <c r="C18" s="11"/>
      <c r="D18" s="11"/>
    </row>
    <row r="19" spans="1:14" x14ac:dyDescent="0.25">
      <c r="A19" s="11"/>
      <c r="B19" s="11"/>
      <c r="C19" s="11"/>
      <c r="D19" s="11"/>
    </row>
    <row r="20" spans="1:14" x14ac:dyDescent="0.25">
      <c r="A20" s="11"/>
      <c r="B20" s="11"/>
      <c r="C20" s="11"/>
      <c r="D20" s="11"/>
    </row>
    <row r="21" spans="1:14" x14ac:dyDescent="0.25">
      <c r="A21" s="11"/>
      <c r="B21" s="11"/>
      <c r="C21" s="11"/>
      <c r="D21" s="11"/>
      <c r="J21">
        <v>4</v>
      </c>
      <c r="K21" s="14" t="s">
        <v>34</v>
      </c>
      <c r="L21" s="14"/>
      <c r="M21" s="14" t="s">
        <v>3</v>
      </c>
      <c r="N21" s="14"/>
    </row>
    <row r="22" spans="1:14" x14ac:dyDescent="0.25">
      <c r="A22" s="11"/>
      <c r="B22" s="11"/>
      <c r="C22" s="11"/>
      <c r="D22" s="11"/>
      <c r="K22" s="14"/>
      <c r="L22" s="14"/>
      <c r="M22" s="14"/>
      <c r="N22" s="14"/>
    </row>
    <row r="23" spans="1:14" x14ac:dyDescent="0.25">
      <c r="A23" s="11"/>
      <c r="B23" s="11"/>
      <c r="C23" s="11"/>
      <c r="D23" s="11"/>
      <c r="K23" s="13" t="s">
        <v>28</v>
      </c>
      <c r="L23" s="13"/>
      <c r="M23" s="13" t="str">
        <f>VLOOKUP(K23,Table2[],4,0)</f>
        <v>Hyderabad</v>
      </c>
      <c r="N23" s="13"/>
    </row>
    <row r="24" spans="1:14" x14ac:dyDescent="0.25">
      <c r="A24" s="11"/>
      <c r="B24" s="11"/>
      <c r="C24" s="11"/>
      <c r="D24" s="11"/>
      <c r="K24" s="13"/>
      <c r="L24" s="13"/>
      <c r="M24" s="13"/>
      <c r="N24" s="13"/>
    </row>
    <row r="27" spans="1:14" x14ac:dyDescent="0.25">
      <c r="J27">
        <v>5</v>
      </c>
      <c r="K27" s="12" t="s">
        <v>35</v>
      </c>
      <c r="L27" s="12"/>
      <c r="M27" s="12" t="s">
        <v>1</v>
      </c>
      <c r="N27" s="12"/>
    </row>
    <row r="28" spans="1:14" x14ac:dyDescent="0.25">
      <c r="K28" s="12"/>
      <c r="L28" s="12"/>
      <c r="M28" s="12"/>
      <c r="N28" s="12"/>
    </row>
    <row r="29" spans="1:14" x14ac:dyDescent="0.25">
      <c r="K29" s="13" t="s">
        <v>36</v>
      </c>
      <c r="L29" s="13"/>
      <c r="M29" s="13" t="str">
        <f>IFERROR(VLOOKUP(K29,Table2[],2,0),"Value Not Found")</f>
        <v>Value Not Found</v>
      </c>
      <c r="N29" s="13"/>
    </row>
    <row r="30" spans="1:14" x14ac:dyDescent="0.25">
      <c r="K30" s="13"/>
      <c r="L30" s="13"/>
      <c r="M30" s="13"/>
      <c r="N30" s="13"/>
    </row>
    <row r="33" spans="10:14" x14ac:dyDescent="0.25">
      <c r="J33">
        <v>6</v>
      </c>
      <c r="K33" s="12" t="s">
        <v>34</v>
      </c>
      <c r="L33" s="12"/>
      <c r="M33" s="12" t="s">
        <v>37</v>
      </c>
      <c r="N33" s="12"/>
    </row>
    <row r="34" spans="10:14" x14ac:dyDescent="0.25">
      <c r="K34" s="12"/>
      <c r="L34" s="12"/>
      <c r="M34" s="12"/>
      <c r="N34" s="12"/>
    </row>
    <row r="35" spans="10:14" x14ac:dyDescent="0.25">
      <c r="K35" s="13" t="s">
        <v>6</v>
      </c>
      <c r="L35" s="13"/>
      <c r="M35" s="13">
        <f>VLOOKUP(K35,Table2[],6,0)</f>
        <v>2019</v>
      </c>
      <c r="N35" s="13"/>
    </row>
    <row r="36" spans="10:14" x14ac:dyDescent="0.25">
      <c r="K36" s="13"/>
      <c r="L36" s="13"/>
      <c r="M36" s="13"/>
      <c r="N36" s="13"/>
    </row>
  </sheetData>
  <mergeCells count="25">
    <mergeCell ref="K35:L36"/>
    <mergeCell ref="M35:N36"/>
    <mergeCell ref="K27:L28"/>
    <mergeCell ref="M27:N28"/>
    <mergeCell ref="K29:L30"/>
    <mergeCell ref="M29:N30"/>
    <mergeCell ref="K33:L34"/>
    <mergeCell ref="M33:N34"/>
    <mergeCell ref="M14:N15"/>
    <mergeCell ref="K16:L17"/>
    <mergeCell ref="M16:N17"/>
    <mergeCell ref="K21:L22"/>
    <mergeCell ref="M21:N22"/>
    <mergeCell ref="K23:L24"/>
    <mergeCell ref="M23:N24"/>
    <mergeCell ref="A17:D24"/>
    <mergeCell ref="K6:L6"/>
    <mergeCell ref="M6:N6"/>
    <mergeCell ref="K7:L7"/>
    <mergeCell ref="M7:N7"/>
    <mergeCell ref="K10:L10"/>
    <mergeCell ref="M10:N10"/>
    <mergeCell ref="K11:L11"/>
    <mergeCell ref="M11:N11"/>
    <mergeCell ref="K14:L15"/>
  </mergeCells>
  <dataValidations count="2">
    <dataValidation type="list" allowBlank="1" showInputMessage="1" showErrorMessage="1" sqref="K7:L7 K11:L11 K23:L24 K35:L36" xr:uid="{EC0E48AC-2E97-4115-A84A-9D60353832D4}">
      <formula1>$A$6:$A$13</formula1>
    </dataValidation>
    <dataValidation type="list" allowBlank="1" showInputMessage="1" showErrorMessage="1" sqref="K16:L17" xr:uid="{781520DE-99C7-4A4E-AE12-13FAD4A79142}">
      <formula1>$B$6:$B$13</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208F7-7283-483C-A90A-80F67B74C36F}">
  <dimension ref="A2:W41"/>
  <sheetViews>
    <sheetView tabSelected="1" zoomScale="55" zoomScaleNormal="55" workbookViewId="0">
      <selection activeCell="L19" sqref="L19"/>
    </sheetView>
  </sheetViews>
  <sheetFormatPr defaultRowHeight="14.25" x14ac:dyDescent="0.2"/>
  <cols>
    <col min="1" max="1" width="19.28515625" style="15" customWidth="1"/>
    <col min="2" max="2" width="13.85546875" style="15" customWidth="1"/>
    <col min="3" max="4" width="9.140625" style="15"/>
    <col min="5" max="5" width="12.28515625" style="15" customWidth="1"/>
    <col min="6" max="6" width="14.7109375" style="15" customWidth="1"/>
    <col min="7" max="17" width="9.140625" style="15"/>
    <col min="18" max="18" width="12.85546875" style="15" bestFit="1" customWidth="1"/>
    <col min="19" max="19" width="12.42578125" style="15" bestFit="1" customWidth="1"/>
    <col min="20" max="20" width="13.42578125" style="15" bestFit="1" customWidth="1"/>
    <col min="21" max="21" width="12.5703125" style="15" bestFit="1" customWidth="1"/>
    <col min="22" max="22" width="12.85546875" style="15" bestFit="1" customWidth="1"/>
    <col min="23" max="23" width="16.7109375" style="15" bestFit="1" customWidth="1"/>
    <col min="24" max="16384" width="9.140625" style="15"/>
  </cols>
  <sheetData>
    <row r="2" spans="1:23" ht="30.75" thickBot="1" x14ac:dyDescent="0.25">
      <c r="R2" s="16" t="s">
        <v>0</v>
      </c>
      <c r="S2" s="17" t="s">
        <v>1</v>
      </c>
      <c r="T2" s="17" t="s">
        <v>2</v>
      </c>
      <c r="U2" s="17" t="s">
        <v>3</v>
      </c>
      <c r="V2" s="17" t="s">
        <v>4</v>
      </c>
      <c r="W2" s="18" t="s">
        <v>5</v>
      </c>
    </row>
    <row r="3" spans="1:23" ht="30.75" thickBot="1" x14ac:dyDescent="0.25">
      <c r="R3" s="19" t="s">
        <v>6</v>
      </c>
      <c r="S3" s="20" t="s">
        <v>7</v>
      </c>
      <c r="T3" s="20" t="s">
        <v>8</v>
      </c>
      <c r="U3" s="20" t="s">
        <v>9</v>
      </c>
      <c r="V3" s="20">
        <v>45000</v>
      </c>
      <c r="W3" s="21">
        <v>2019</v>
      </c>
    </row>
    <row r="4" spans="1:23" ht="30.75" thickBot="1" x14ac:dyDescent="0.25">
      <c r="R4" s="19" t="s">
        <v>10</v>
      </c>
      <c r="S4" s="20" t="s">
        <v>11</v>
      </c>
      <c r="T4" s="20" t="s">
        <v>12</v>
      </c>
      <c r="U4" s="20" t="s">
        <v>13</v>
      </c>
      <c r="V4" s="20">
        <v>52000</v>
      </c>
      <c r="W4" s="21">
        <v>2018</v>
      </c>
    </row>
    <row r="5" spans="1:23" ht="30.75" thickBot="1" x14ac:dyDescent="0.25">
      <c r="R5" s="19" t="s">
        <v>14</v>
      </c>
      <c r="S5" s="20" t="s">
        <v>15</v>
      </c>
      <c r="T5" s="20" t="s">
        <v>16</v>
      </c>
      <c r="U5" s="20" t="s">
        <v>17</v>
      </c>
      <c r="V5" s="20">
        <v>65000</v>
      </c>
      <c r="W5" s="21">
        <v>2020</v>
      </c>
    </row>
    <row r="6" spans="1:23" ht="30.75" thickBot="1" x14ac:dyDescent="0.25">
      <c r="R6" s="19" t="s">
        <v>18</v>
      </c>
      <c r="S6" s="20" t="s">
        <v>19</v>
      </c>
      <c r="T6" s="20" t="s">
        <v>20</v>
      </c>
      <c r="U6" s="20" t="s">
        <v>21</v>
      </c>
      <c r="V6" s="20">
        <v>58000</v>
      </c>
      <c r="W6" s="21">
        <v>2017</v>
      </c>
    </row>
    <row r="7" spans="1:23" ht="30.75" thickBot="1" x14ac:dyDescent="0.25">
      <c r="A7" s="22" t="s">
        <v>2</v>
      </c>
      <c r="B7" s="23" t="s">
        <v>8</v>
      </c>
      <c r="C7" s="23" t="s">
        <v>12</v>
      </c>
      <c r="D7" s="23" t="s">
        <v>16</v>
      </c>
      <c r="E7" s="23" t="s">
        <v>20</v>
      </c>
      <c r="F7" s="24" t="s">
        <v>24</v>
      </c>
      <c r="J7" s="25" t="s">
        <v>39</v>
      </c>
      <c r="K7" s="26"/>
      <c r="L7" s="26"/>
      <c r="M7" s="26"/>
      <c r="N7" s="26"/>
      <c r="O7" s="26"/>
      <c r="R7" s="19" t="s">
        <v>22</v>
      </c>
      <c r="S7" s="20" t="s">
        <v>23</v>
      </c>
      <c r="T7" s="20" t="s">
        <v>24</v>
      </c>
      <c r="U7" s="20" t="s">
        <v>9</v>
      </c>
      <c r="V7" s="20">
        <v>48000</v>
      </c>
      <c r="W7" s="21">
        <v>2021</v>
      </c>
    </row>
    <row r="8" spans="1:23" ht="30.75" thickBot="1" x14ac:dyDescent="0.25">
      <c r="A8" s="27" t="s">
        <v>38</v>
      </c>
      <c r="B8" s="28">
        <v>0.1</v>
      </c>
      <c r="C8" s="28">
        <v>0.08</v>
      </c>
      <c r="D8" s="28">
        <v>0.12</v>
      </c>
      <c r="E8" s="28">
        <v>0.15</v>
      </c>
      <c r="F8" s="29">
        <v>0.09</v>
      </c>
      <c r="J8" s="26"/>
      <c r="K8" s="26"/>
      <c r="L8" s="26"/>
      <c r="M8" s="26"/>
      <c r="N8" s="26"/>
      <c r="O8" s="26"/>
      <c r="R8" s="19" t="s">
        <v>25</v>
      </c>
      <c r="S8" s="20" t="s">
        <v>26</v>
      </c>
      <c r="T8" s="20" t="s">
        <v>16</v>
      </c>
      <c r="U8" s="20" t="s">
        <v>27</v>
      </c>
      <c r="V8" s="20">
        <v>62000</v>
      </c>
      <c r="W8" s="21">
        <v>2019</v>
      </c>
    </row>
    <row r="9" spans="1:23" ht="30.75" thickBot="1" x14ac:dyDescent="0.25">
      <c r="E9" s="15" cm="1">
        <f t="array" ref="E9">V6*Table3[Finance]</f>
        <v>8700</v>
      </c>
      <c r="J9" s="26"/>
      <c r="K9" s="26"/>
      <c r="L9" s="26"/>
      <c r="M9" s="26"/>
      <c r="N9" s="26"/>
      <c r="O9" s="26"/>
      <c r="R9" s="19" t="s">
        <v>28</v>
      </c>
      <c r="S9" s="20" t="s">
        <v>29</v>
      </c>
      <c r="T9" s="20" t="s">
        <v>8</v>
      </c>
      <c r="U9" s="20" t="s">
        <v>30</v>
      </c>
      <c r="V9" s="20">
        <v>47000</v>
      </c>
      <c r="W9" s="21">
        <v>2020</v>
      </c>
    </row>
    <row r="10" spans="1:23" ht="15" x14ac:dyDescent="0.2">
      <c r="J10" s="26"/>
      <c r="K10" s="26"/>
      <c r="L10" s="26"/>
      <c r="M10" s="26"/>
      <c r="N10" s="26"/>
      <c r="O10" s="26"/>
      <c r="R10" s="30" t="s">
        <v>31</v>
      </c>
      <c r="S10" s="31" t="s">
        <v>32</v>
      </c>
      <c r="T10" s="31" t="s">
        <v>12</v>
      </c>
      <c r="U10" s="31" t="s">
        <v>17</v>
      </c>
      <c r="V10" s="31">
        <v>54000</v>
      </c>
      <c r="W10" s="32">
        <v>2016</v>
      </c>
    </row>
    <row r="11" spans="1:23" x14ac:dyDescent="0.2">
      <c r="J11" s="26"/>
      <c r="K11" s="26"/>
      <c r="L11" s="26"/>
      <c r="M11" s="26"/>
      <c r="N11" s="26"/>
      <c r="O11" s="26"/>
    </row>
    <row r="12" spans="1:23" ht="18" x14ac:dyDescent="0.25">
      <c r="A12" s="33" t="s">
        <v>16</v>
      </c>
      <c r="C12" s="34" t="s">
        <v>20</v>
      </c>
      <c r="E12" s="35" t="s">
        <v>20</v>
      </c>
      <c r="F12" s="35"/>
      <c r="H12" s="35" t="s">
        <v>40</v>
      </c>
      <c r="I12" s="35"/>
      <c r="J12" s="26"/>
      <c r="K12" s="26"/>
      <c r="L12" s="26"/>
      <c r="M12" s="26"/>
      <c r="N12" s="26"/>
      <c r="O12" s="26"/>
    </row>
    <row r="13" spans="1:23" ht="18" x14ac:dyDescent="0.25">
      <c r="A13" s="36">
        <f>HLOOKUP(A12,Table3[[#All],[Department]:[IT]],2,0)</f>
        <v>0.12</v>
      </c>
      <c r="C13" s="37">
        <f>HLOOKUP(C12,Table3[[#All],[Department]:[Finance]],2,0)</f>
        <v>0.15</v>
      </c>
      <c r="E13" s="38">
        <f>HLOOKUP(E12,A7:E9,3,0)</f>
        <v>8700</v>
      </c>
      <c r="F13" s="38"/>
      <c r="H13" s="39" t="str">
        <f>IFERROR(HLOOKUP(H12,Table3[[#All],[Sales]:[Marketing]],2,0),"No Bonus Data")</f>
        <v>No Bonus Data</v>
      </c>
      <c r="I13" s="39"/>
      <c r="J13" s="26"/>
      <c r="K13" s="26"/>
      <c r="L13" s="26"/>
      <c r="M13" s="26"/>
      <c r="N13" s="26"/>
      <c r="O13" s="26"/>
    </row>
    <row r="14" spans="1:23" x14ac:dyDescent="0.2">
      <c r="J14" s="26"/>
      <c r="K14" s="26"/>
      <c r="L14" s="26"/>
      <c r="M14" s="26"/>
      <c r="N14" s="26"/>
      <c r="O14" s="26"/>
    </row>
    <row r="16" spans="1:23" x14ac:dyDescent="0.2">
      <c r="A16" s="40" t="s">
        <v>41</v>
      </c>
      <c r="B16" s="15" t="s">
        <v>2</v>
      </c>
      <c r="D16" s="15" t="s">
        <v>42</v>
      </c>
    </row>
    <row r="17" spans="1:4" x14ac:dyDescent="0.2">
      <c r="A17" s="15" t="s">
        <v>18</v>
      </c>
      <c r="B17" s="15" t="str">
        <f>VLOOKUP(A17,Table27[[EmployeeID]:[Salary]],3,0)</f>
        <v>Finance</v>
      </c>
      <c r="D17" s="15">
        <f>VLOOKUP(A17,Table27[[#All],[EmployeeID]:[Salary]],5,0)*HLOOKUP(B17,Table3[#All],2,0)</f>
        <v>8700</v>
      </c>
    </row>
    <row r="20" spans="1:4" x14ac:dyDescent="0.2">
      <c r="A20" s="41">
        <v>11</v>
      </c>
    </row>
    <row r="21" spans="1:4" ht="18" x14ac:dyDescent="0.2">
      <c r="A21" s="42" t="s">
        <v>43</v>
      </c>
      <c r="B21" s="42" t="s">
        <v>4</v>
      </c>
    </row>
    <row r="22" spans="1:4" ht="18" x14ac:dyDescent="0.2">
      <c r="A22" s="43" t="s">
        <v>6</v>
      </c>
      <c r="B22" s="43">
        <f>_xlfn.XLOOKUP(A22,Table27[EmployeeID],Table27[Salary])</f>
        <v>45000</v>
      </c>
    </row>
    <row r="24" spans="1:4" x14ac:dyDescent="0.2">
      <c r="A24" s="41">
        <v>12</v>
      </c>
    </row>
    <row r="25" spans="1:4" ht="18" x14ac:dyDescent="0.2">
      <c r="A25" s="42" t="s">
        <v>1</v>
      </c>
      <c r="B25" s="44" t="s">
        <v>2</v>
      </c>
      <c r="C25" s="44"/>
    </row>
    <row r="26" spans="1:4" ht="18" x14ac:dyDescent="0.2">
      <c r="A26" s="43" t="s">
        <v>7</v>
      </c>
      <c r="B26" s="45" t="str">
        <f>_xlfn.XLOOKUP(A26,Table27[Name],Table27[Department])</f>
        <v>Sales</v>
      </c>
      <c r="C26" s="45"/>
    </row>
    <row r="29" spans="1:4" x14ac:dyDescent="0.2">
      <c r="A29" s="41">
        <v>13</v>
      </c>
    </row>
    <row r="30" spans="1:4" ht="18" x14ac:dyDescent="0.25">
      <c r="A30" s="46" t="s">
        <v>1</v>
      </c>
      <c r="B30" s="46" t="s">
        <v>3</v>
      </c>
    </row>
    <row r="31" spans="1:4" ht="18" x14ac:dyDescent="0.25">
      <c r="A31" s="47" t="s">
        <v>7</v>
      </c>
      <c r="B31" s="47" t="str">
        <f>_xlfn.XLOOKUP(A31,Table27[Name],Table27[Location])</f>
        <v>Mumbai</v>
      </c>
    </row>
    <row r="34" spans="1:2" x14ac:dyDescent="0.2">
      <c r="A34" s="41">
        <v>14</v>
      </c>
    </row>
    <row r="35" spans="1:2" ht="18" x14ac:dyDescent="0.25">
      <c r="A35" s="46" t="s">
        <v>0</v>
      </c>
      <c r="B35" s="46" t="s">
        <v>1</v>
      </c>
    </row>
    <row r="36" spans="1:2" ht="18" x14ac:dyDescent="0.25">
      <c r="A36" s="47" t="s">
        <v>44</v>
      </c>
      <c r="B36" s="47" t="str">
        <f>IFERROR(_xlfn.XLOOKUP(A36,Table27[EmployeeID],Table27[Name]),"Not Found")</f>
        <v>Not Found</v>
      </c>
    </row>
    <row r="39" spans="1:2" x14ac:dyDescent="0.2">
      <c r="A39" s="41">
        <v>15</v>
      </c>
    </row>
    <row r="40" spans="1:2" ht="36" x14ac:dyDescent="0.25">
      <c r="A40" s="46" t="s">
        <v>2</v>
      </c>
      <c r="B40" s="48" t="s">
        <v>45</v>
      </c>
    </row>
    <row r="41" spans="1:2" x14ac:dyDescent="0.2">
      <c r="A41" s="49" t="s">
        <v>16</v>
      </c>
      <c r="B41" s="50" cm="1">
        <f t="array" ref="B41">_xlfn.XLOOKUP(A41,Table3[#Headers],Table3[])</f>
        <v>0.12</v>
      </c>
    </row>
  </sheetData>
  <mergeCells count="7">
    <mergeCell ref="B26:C26"/>
    <mergeCell ref="B25:C25"/>
    <mergeCell ref="J7:O14"/>
    <mergeCell ref="E13:F13"/>
    <mergeCell ref="E12:F12"/>
    <mergeCell ref="H12:I12"/>
    <mergeCell ref="H13:I13"/>
  </mergeCells>
  <conditionalFormatting sqref="A7:F7">
    <cfRule type="uniqueValues" dxfId="16" priority="1"/>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Employee_Data</vt:lpstr>
      <vt:lpstr>Department_Bonus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ASDC11</dc:creator>
  <cp:lastModifiedBy>ASDC11</cp:lastModifiedBy>
  <dcterms:created xsi:type="dcterms:W3CDTF">2026-02-01T04:42:24Z</dcterms:created>
  <dcterms:modified xsi:type="dcterms:W3CDTF">2026-02-01T06:40:46Z</dcterms:modified>
</cp:coreProperties>
</file>