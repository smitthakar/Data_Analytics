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1\Desktop\Smit\Data_Analytics\"/>
    </mc:Choice>
  </mc:AlternateContent>
  <xr:revisionPtr revIDLastSave="0" documentId="13_ncr:1_{65B9AF93-4B65-4305-B352-EB9C89085563}" xr6:coauthVersionLast="47" xr6:coauthVersionMax="47" xr10:uidLastSave="{00000000-0000-0000-0000-000000000000}"/>
  <bookViews>
    <workbookView xWindow="-120" yWindow="-120" windowWidth="29040" windowHeight="15720" firstSheet="5" activeTab="8" xr2:uid="{F1212733-8FC2-4858-8F17-B4BCE13DDFEB}"/>
  </bookViews>
  <sheets>
    <sheet name="Pass   Fail using IF" sheetId="1" r:id="rId1"/>
    <sheet name="Salary Bonus Check (IF)" sheetId="2" r:id="rId2"/>
    <sheet name="Grade Calculation (Nested IF)" sheetId="3" r:id="rId3"/>
    <sheet name="Job Eligibility (AND)" sheetId="4" r:id="rId4"/>
    <sheet name="Discount Logic (OR)" sheetId="5" r:id="rId5"/>
    <sheet name="Loan Approval (OR)" sheetId="6" r:id="rId6"/>
    <sheet name="Attendance Status (NOT)" sheetId="7" r:id="rId7"/>
    <sheet name="Safe Division (IFERROR)" sheetId="8" r:id="rId8"/>
    <sheet name=" Performance Evaluation (Combi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9" l="1"/>
  <c r="D7" i="9"/>
  <c r="D8" i="9"/>
  <c r="D9" i="9"/>
  <c r="C6" i="8"/>
  <c r="C7" i="8"/>
  <c r="C8" i="8"/>
  <c r="C9" i="8"/>
  <c r="C6" i="7"/>
  <c r="C7" i="7"/>
  <c r="C8" i="7"/>
  <c r="C9" i="7"/>
  <c r="D7" i="6"/>
  <c r="D8" i="6"/>
  <c r="D9" i="6"/>
  <c r="D10" i="6"/>
  <c r="D11" i="6"/>
  <c r="D12" i="6"/>
  <c r="D13" i="6"/>
  <c r="D14" i="6"/>
  <c r="D15" i="6"/>
  <c r="D16" i="6"/>
  <c r="D17" i="6"/>
  <c r="D18" i="6"/>
  <c r="D6" i="6"/>
  <c r="D7" i="5"/>
  <c r="D8" i="5"/>
  <c r="D9" i="5"/>
  <c r="D10" i="5"/>
  <c r="D11" i="5"/>
  <c r="D12" i="5"/>
  <c r="D13" i="5"/>
  <c r="D14" i="5"/>
  <c r="D6" i="5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C12" i="3"/>
  <c r="C14" i="3"/>
  <c r="C15" i="3"/>
  <c r="C16" i="3"/>
  <c r="C17" i="3"/>
  <c r="C18" i="3"/>
  <c r="C19" i="3"/>
  <c r="C11" i="3"/>
  <c r="C21" i="3"/>
  <c r="C20" i="3"/>
  <c r="C6" i="3"/>
  <c r="C7" i="3"/>
  <c r="C8" i="3"/>
  <c r="C9" i="3"/>
  <c r="C10" i="3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D11" i="1"/>
  <c r="D12" i="1"/>
  <c r="D13" i="1"/>
  <c r="D14" i="1"/>
  <c r="D15" i="1"/>
  <c r="D16" i="1"/>
  <c r="D17" i="1"/>
  <c r="D18" i="1"/>
  <c r="D19" i="1"/>
  <c r="D20" i="1"/>
  <c r="D21" i="1"/>
  <c r="D10" i="1"/>
  <c r="D5" i="1"/>
  <c r="D6" i="1"/>
  <c r="D7" i="1"/>
  <c r="D8" i="1"/>
  <c r="D9" i="1"/>
  <c r="C13" i="3" l="1"/>
</calcChain>
</file>

<file path=xl/sharedStrings.xml><?xml version="1.0" encoding="utf-8"?>
<sst xmlns="http://schemas.openxmlformats.org/spreadsheetml/2006/main" count="139" uniqueCount="79">
  <si>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</si>
  <si>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</si>
  <si>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</si>
  <si>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</si>
  <si>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</si>
  <si>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</si>
  <si>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</si>
  <si>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</si>
  <si>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</si>
  <si>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If Marks ≥ 40 → Pass
Else → Fail</t>
  </si>
  <si>
    <t>Smit</t>
  </si>
  <si>
    <t>Shivam</t>
  </si>
  <si>
    <t>Vishv</t>
  </si>
  <si>
    <t>Sunny</t>
  </si>
  <si>
    <t>Naman</t>
  </si>
  <si>
    <t>Om</t>
  </si>
  <si>
    <t>Vaidik</t>
  </si>
  <si>
    <t>Darshan</t>
  </si>
  <si>
    <t>Dhairy</t>
  </si>
  <si>
    <t>Jay</t>
  </si>
  <si>
    <t>Keyur</t>
  </si>
  <si>
    <t>Krunal</t>
  </si>
  <si>
    <t>Employee Name</t>
  </si>
  <si>
    <t>Salary</t>
  </si>
  <si>
    <t>Bonus Status</t>
  </si>
  <si>
    <t>Rohit</t>
  </si>
  <si>
    <t>Simran</t>
  </si>
  <si>
    <t>Vijay</t>
  </si>
  <si>
    <t>Nisha</t>
  </si>
  <si>
    <t>Salary ≥ 40000 → Bonus
Else → No Bonus</t>
  </si>
  <si>
    <t>Grade</t>
  </si>
  <si>
    <t>≥ 75 → A
≥ 60 → B
≥ 40 → C
&lt; 40 → Fail</t>
  </si>
  <si>
    <t>Nirmal</t>
  </si>
  <si>
    <t>Ronit</t>
  </si>
  <si>
    <t>Ritesh</t>
  </si>
  <si>
    <t>Name</t>
  </si>
  <si>
    <t>Age</t>
  </si>
  <si>
    <t>Experience (Years)</t>
  </si>
  <si>
    <t>Eligible</t>
  </si>
  <si>
    <t>Age ≥ 21 AND Experience ≥ 1 → Eligible</t>
  </si>
  <si>
    <t>keyur</t>
  </si>
  <si>
    <t>Pooja</t>
  </si>
  <si>
    <t>Isha</t>
  </si>
  <si>
    <t>Sweta</t>
  </si>
  <si>
    <t>Customer Name</t>
  </si>
  <si>
    <t>Purchase Amount</t>
  </si>
  <si>
    <t>Membership</t>
  </si>
  <si>
    <t>Discount</t>
  </si>
  <si>
    <t>Aakash</t>
  </si>
  <si>
    <t>No</t>
  </si>
  <si>
    <t>Bhavna</t>
  </si>
  <si>
    <t>Yes</t>
  </si>
  <si>
    <t>Divya</t>
  </si>
  <si>
    <t>Purchase ≥ 10000 OR Membership = Ye</t>
  </si>
  <si>
    <t>shivam</t>
  </si>
  <si>
    <t>Applicant</t>
  </si>
  <si>
    <t>CIBIL Score</t>
  </si>
  <si>
    <t>Loan Status</t>
  </si>
  <si>
    <t>Drasti</t>
  </si>
  <si>
    <t>Yashvi</t>
  </si>
  <si>
    <t>Keyuri</t>
  </si>
  <si>
    <t>Jahnvi</t>
  </si>
  <si>
    <t>Jyoti</t>
  </si>
  <si>
    <t>Himani</t>
  </si>
  <si>
    <t>Salary ≥ 40000 OR CIBIL ≥ 700</t>
  </si>
  <si>
    <t>Present</t>
  </si>
  <si>
    <t>Status</t>
  </si>
  <si>
    <t>If NOT Present → Absent
Else → Present</t>
  </si>
  <si>
    <t>Number 1</t>
  </si>
  <si>
    <t>Number 2</t>
  </si>
  <si>
    <t>Divide Number 1 by Number 2
If error → show "Invalid"</t>
  </si>
  <si>
    <t>Targets Achieved</t>
  </si>
  <si>
    <t>Attendance %</t>
  </si>
  <si>
    <t>Performance</t>
  </si>
  <si>
    <t>Raj</t>
  </si>
  <si>
    <t>Sunita</t>
  </si>
  <si>
    <t>Manoj</t>
  </si>
  <si>
    <t>Kavita</t>
  </si>
  <si>
    <t>Attendance ≥ 90 AND Targets ≥ 40 → Excellent
Attendance ≥ 80 → Good
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</si>
</sst>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  <font>
      <sz val="12"/>
      <color theme="0"/>
      <name val="Segoe UI"/>
      <family val="2"/>
    </font>
    <font>
      <sz val="12"/>
      <color theme="1"/>
      <name val="Segoe UI"/>
      <family val="2"/>
    </font>
    <font>
      <sz val="14"/>
      <color rgb="FFF0F6FC"/>
      <name val="Segoe UI"/>
      <family val="2"/>
    </font>
    <font>
      <sz val="14"/>
      <color theme="1"/>
      <name val="Segoe UI"/>
      <family val="2"/>
    </font>
    <font>
      <sz val="14"/>
      <color theme="1"/>
      <name val="Calibri"/>
      <family val="2"/>
      <scheme val="minor"/>
    </font>
    <font>
      <sz val="11"/>
      <color theme="0"/>
      <name val="Segoe UI"/>
      <family val="2"/>
    </font>
    <font>
      <sz val="12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/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  <border>
      <left/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/>
      <top/>
      <bottom style="medium">
        <color rgb="FF3D444D"/>
      </bottom>
      <diagonal/>
    </border>
    <border>
      <left/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/>
      <top style="medium">
        <color rgb="FF3D444D"/>
      </top>
      <bottom/>
      <diagonal/>
    </border>
    <border>
      <left style="medium">
        <color rgb="FF3D444D"/>
      </left>
      <right/>
      <top/>
      <bottom/>
      <diagonal/>
    </border>
    <border>
      <left/>
      <right style="medium">
        <color rgb="FF3D444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3D444D"/>
      </left>
      <right style="medium">
        <color rgb="FF3D444D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1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17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9" xfId="0" applyFont="1" applyFill="1" applyBorder="1" applyAlignment="1">
      <alignment horizontal="left" vertical="center" wrapText="1" inden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 wrapText="1" indent="1"/>
    </xf>
    <xf numFmtId="0" fontId="2" fillId="2" borderId="12" xfId="0" applyFont="1" applyFill="1" applyBorder="1" applyAlignment="1">
      <alignment horizontal="left" vertical="center" wrapText="1" indent="1"/>
    </xf>
    <xf numFmtId="0" fontId="2" fillId="2" borderId="17" xfId="0" applyFont="1" applyFill="1" applyBorder="1" applyAlignment="1">
      <alignment horizontal="left" vertical="center" wrapText="1" indent="1"/>
    </xf>
    <xf numFmtId="0" fontId="2" fillId="2" borderId="18" xfId="0" applyFont="1" applyFill="1" applyBorder="1" applyAlignment="1">
      <alignment horizontal="left" vertical="center" wrapText="1" indent="1"/>
    </xf>
    <xf numFmtId="0" fontId="2" fillId="2" borderId="19" xfId="0" applyFont="1" applyFill="1" applyBorder="1" applyAlignment="1">
      <alignment horizontal="left" vertical="center" wrapText="1" indent="1"/>
    </xf>
    <xf numFmtId="0" fontId="2" fillId="2" borderId="20" xfId="0" applyFont="1" applyFill="1" applyBorder="1" applyAlignment="1">
      <alignment horizontal="left" vertical="center" wrapText="1" inden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/>
    </xf>
  </cellXfs>
  <cellStyles count="1">
    <cellStyle name="Normal" xfId="0" builtinId="0"/>
  </cellStyles>
  <dxfs count="77">
    <dxf>
      <numFmt numFmtId="0" formatCode="General"/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color theme="0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0"/>
        <name val="Segoe UI"/>
        <family val="2"/>
        <scheme val="none"/>
      </font>
      <numFmt numFmtId="0" formatCode="General"/>
      <fill>
        <patternFill patternType="solid">
          <fgColor indexed="64"/>
          <bgColor theme="4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399975585192419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0" formatCode="General"/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Segoe UI"/>
        <family val="2"/>
        <scheme val="none"/>
      </font>
      <numFmt numFmtId="0" formatCode="General"/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0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0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0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0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numFmt numFmtId="0" formatCode="General"/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0" formatCode="General"/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0F6FC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B63C2-EF38-4A04-8C79-CEF21B1AA5E2}" name="Table1" displayName="Table1" ref="A4:D21" totalsRowShown="0" headerRowDxfId="70" dataDxfId="69" headerRowBorderDxfId="75" tableBorderDxfId="76" totalsRowBorderDxfId="74">
  <autoFilter ref="A4:D21" xr:uid="{711B63C2-EF38-4A04-8C79-CEF21B1AA5E2}"/>
  <tableColumns count="4">
    <tableColumn id="1" xr3:uid="{34BF02E6-81D8-4489-ACE8-03527F67259C}" name="Roll No" dataDxfId="73"/>
    <tableColumn id="2" xr3:uid="{54469EF4-6906-456F-9DAB-F2915942E860}" name="Student Name" dataDxfId="72"/>
    <tableColumn id="3" xr3:uid="{9409D9B2-8C92-445C-BFC1-2176795B1822}" name="Marks" dataDxfId="71"/>
    <tableColumn id="4" xr3:uid="{8DD828F3-D21B-4721-9F0D-8A367169D00F}" name="Result" dataDxfId="68">
      <calculatedColumnFormula>IF(Table1[[#This Row],[Marks]]&gt;=40,"Pass","Fail")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BCB217-F106-4C3F-81C3-3DAE7381D1DA}" name="Table2" displayName="Table2" ref="A5:C18" totalsRowShown="0" headerRowDxfId="61" dataDxfId="67" headerRowBorderDxfId="65" tableBorderDxfId="66" totalsRowBorderDxfId="64">
  <autoFilter ref="A5:C18" xr:uid="{5CBCB217-F106-4C3F-81C3-3DAE7381D1DA}"/>
  <tableColumns count="3">
    <tableColumn id="1" xr3:uid="{8E6A7A99-B905-4F24-9937-C3FC225B830C}" name="Employee Name" dataDxfId="63"/>
    <tableColumn id="2" xr3:uid="{3504DF9B-9BB9-4099-843D-ED8D29AFEEA8}" name="Salary" dataDxfId="62"/>
    <tableColumn id="3" xr3:uid="{99BBC8CE-2D0C-4F6F-86AB-C67EB4A92809}" name="Bonus Status" dataDxfId="60">
      <calculatedColumnFormula>IF(Table2[[#This Row],[Salary]]&gt;=40000,"Bonus","No Bonus")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45E17F-3FA5-4670-8189-4F1D79630743}" name="Table3" displayName="Table3" ref="A5:C21" totalsRowShown="0" headerRowDxfId="54" dataDxfId="53" headerRowBorderDxfId="58" tableBorderDxfId="59" totalsRowBorderDxfId="57">
  <autoFilter ref="A5:C21" xr:uid="{AB45E17F-3FA5-4670-8189-4F1D79630743}"/>
  <tableColumns count="3">
    <tableColumn id="1" xr3:uid="{4BAF6CDA-C4FA-4C62-AA89-33FEE574569D}" name="Student Name" dataDxfId="56"/>
    <tableColumn id="2" xr3:uid="{31D81A0A-A477-42C1-83F7-047F6F7A2AB9}" name="Marks" dataDxfId="55"/>
    <tableColumn id="3" xr3:uid="{4EFBF5A8-48AC-472B-97E8-677E16E70DD6}" name="Grade" dataDxfId="52">
      <calculatedColumnFormula>IF(Table3[[#This Row],[Marks]]&gt;=75,"A",IF(Table3[[#This Row],[Marks]]&gt;=60,"B",IF(Table3[[#This Row],[Marks]]&gt;=40,"C","Fail")))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357BC7-4EA1-4F15-9D81-D565F253802A}" name="Table4" displayName="Table4" ref="A5:D18" totalsRowShown="0" headerRowDxfId="44" dataDxfId="51" headerRowBorderDxfId="49" tableBorderDxfId="50" totalsRowBorderDxfId="48">
  <autoFilter ref="A5:D18" xr:uid="{A2357BC7-4EA1-4F15-9D81-D565F253802A}"/>
  <tableColumns count="4">
    <tableColumn id="1" xr3:uid="{A497D5AD-A04C-419B-AC6F-50365B0BCFE8}" name="Name" dataDxfId="47"/>
    <tableColumn id="2" xr3:uid="{7E0B101C-EA5E-445D-A4F5-236A66EDF551}" name="Age" dataDxfId="46"/>
    <tableColumn id="3" xr3:uid="{54D2F011-F861-4176-B62F-C15F34BB4FC1}" name="Experience (Years)" dataDxfId="45"/>
    <tableColumn id="4" xr3:uid="{0483C7EA-AF0C-4A1D-AE9C-B1EB010444ED}" name="Eligible" dataDxfId="43">
      <calculatedColumnFormula>IF(AND(Table4[[#This Row],[Age]]&gt;=21, Table4[[#This Row],[Experience (Years)]]&gt;=1), "Eligible", "Not Eligible")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D9E74A-68BD-41A1-AFBF-0F338E03CBA3}" name="Table5" displayName="Table5" ref="A5:D14" totalsRowShown="0" headerRowDxfId="39" dataDxfId="38" headerRowBorderDxfId="41" tableBorderDxfId="42" totalsRowBorderDxfId="40">
  <autoFilter ref="A5:D14" xr:uid="{23D9E74A-68BD-41A1-AFBF-0F338E03CBA3}"/>
  <tableColumns count="4">
    <tableColumn id="1" xr3:uid="{CE51668E-FF1C-440A-87DB-D5A5A77B5805}" name="Customer Name" dataDxfId="37"/>
    <tableColumn id="2" xr3:uid="{C1D3A294-ED42-4AE2-9670-E55BCF342403}" name="Purchase Amount" dataDxfId="36"/>
    <tableColumn id="3" xr3:uid="{2E8CA143-7383-45D6-BE2C-F86E13D846FC}" name="Membership" dataDxfId="35"/>
    <tableColumn id="4" xr3:uid="{4BB529FD-615B-446A-9BD1-A3B94A9B72EA}" name="Discount" dataDxfId="34">
      <calculatedColumnFormula>IF(OR(Table5[[#This Row],[Purchase Amount]]&gt;=10000, Table5[[#This Row],[Membership]]="Yes"), "Discount", "No Discount")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2DA1F8-0F85-4145-8904-DA8414BF3C3A}" name="Table6" displayName="Table6" ref="A5:D18" totalsRowShown="0" headerRowDxfId="26" dataDxfId="33" headerRowBorderDxfId="31" tableBorderDxfId="32" totalsRowBorderDxfId="30">
  <autoFilter ref="A5:D18" xr:uid="{8D2DA1F8-0F85-4145-8904-DA8414BF3C3A}"/>
  <tableColumns count="4">
    <tableColumn id="1" xr3:uid="{D1A3743C-A6EA-4FCC-A6A0-B35DA3F14E7A}" name="Applicant" dataDxfId="29"/>
    <tableColumn id="2" xr3:uid="{FBA9A221-158D-4D16-8943-EA4A82191610}" name="Salary" dataDxfId="28"/>
    <tableColumn id="3" xr3:uid="{4F2948FC-FB71-49EB-8F80-AFAA7FCA1347}" name="CIBIL Score" dataDxfId="27"/>
    <tableColumn id="4" xr3:uid="{A9D3671D-BCD0-4E6C-B582-A3B67E1E08D7}" name="Loan Status" dataDxfId="25">
      <calculatedColumnFormula>IF(OR(Table6[[#This Row],[Salary]]&gt;=40000, Table6[[#This Row],[CIBIL Score]]&gt;=700), "Yes", "No")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0F207E-3536-4771-8CAE-A374B5D36843}" name="Table7" displayName="Table7" ref="A5:C9" totalsRowShown="0" headerRowDxfId="18" dataDxfId="24" headerRowBorderDxfId="22" tableBorderDxfId="23" totalsRowBorderDxfId="21">
  <autoFilter ref="A5:C9" xr:uid="{7A0F207E-3536-4771-8CAE-A374B5D36843}"/>
  <tableColumns count="3">
    <tableColumn id="1" xr3:uid="{131C175D-A486-48BB-AEFB-CA7FA74254B7}" name="Name" dataDxfId="20"/>
    <tableColumn id="2" xr3:uid="{D3E9A060-63F3-4CAE-AFAA-64A790069411}" name="Present" dataDxfId="19"/>
    <tableColumn id="3" xr3:uid="{CBA12D64-83C7-4BFA-88BF-10A1A793E734}" name="Status" dataDxfId="17">
      <calculatedColumnFormula>IF(NOT(Table7[[#This Row],[Present]]), "Absent", "Present")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83C3B6-85B8-48AA-9549-B7346CDA4362}" name="Table8" displayName="Table8" ref="A5:C9" totalsRowShown="0" headerRowDxfId="10" dataDxfId="9" headerRowBorderDxfId="15" tableBorderDxfId="16" totalsRowBorderDxfId="14">
  <autoFilter ref="A5:C9" xr:uid="{1C83C3B6-85B8-48AA-9549-B7346CDA4362}"/>
  <tableColumns count="3">
    <tableColumn id="1" xr3:uid="{1683C54C-24BA-4B48-B585-32ADA9CF23B9}" name="Number 1" dataDxfId="13"/>
    <tableColumn id="2" xr3:uid="{B867FFE3-66E5-4A49-AC56-AFC43BCEDDBF}" name="Number 2" dataDxfId="12"/>
    <tableColumn id="3" xr3:uid="{9D8F1BE3-199F-4B9A-977B-DFBE385935AA}" name="Result" dataDxfId="11">
      <calculatedColumnFormula>IFERROR(Table8[[#This Row],[Number 1]]/Table8[[#This Row],[Number 2]],"Invalid")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91A010-3B05-43B1-A837-7BF7AEBDB36B}" name="Table9" displayName="Table9" ref="A5:D9" totalsRowShown="0" headerRowDxfId="2" dataDxfId="1" headerRowBorderDxfId="7" tableBorderDxfId="8" totalsRowBorderDxfId="6">
  <autoFilter ref="A5:D9" xr:uid="{5491A010-3B05-43B1-A837-7BF7AEBDB36B}"/>
  <tableColumns count="4">
    <tableColumn id="1" xr3:uid="{A30622BE-615F-49ED-9246-E8F37D80395A}" name="Employee Name" dataDxfId="5"/>
    <tableColumn id="2" xr3:uid="{599C7D12-6D94-4291-B3D5-8721AB81E746}" name="Targets Achieved" dataDxfId="4"/>
    <tableColumn id="3" xr3:uid="{D0F335BD-7314-4190-A592-953867200592}" name="Attendance %" dataDxfId="3"/>
    <tableColumn id="4" xr3:uid="{C4CB0B8E-442E-4655-B0C5-26E13117D202}" name="Performance" dataDxfId="0">
      <calculatedColumnFormula>IF(AND(Table9[[#This Row],[Attendance %]]&gt;=90,Table9[[#This Row],[Targets Achieved]]&gt;=40),"Excellent",IF(Table9[[#This Row],[Attendance %]]&gt;=80,"Good","Need Improvement"))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C7A7-8BF4-4343-8E18-DE47DBA744E5}">
  <dimension ref="A3:O21"/>
  <sheetViews>
    <sheetView workbookViewId="0">
      <selection activeCell="D5" sqref="D5"/>
    </sheetView>
  </sheetViews>
  <sheetFormatPr defaultRowHeight="15" x14ac:dyDescent="0.25"/>
  <cols>
    <col min="1" max="1" width="15.7109375" bestFit="1" customWidth="1"/>
    <col min="2" max="2" width="16.140625" bestFit="1" customWidth="1"/>
    <col min="3" max="3" width="13.85546875" bestFit="1" customWidth="1"/>
    <col min="4" max="4" width="10.5703125" customWidth="1"/>
  </cols>
  <sheetData>
    <row r="3" spans="1:15" x14ac:dyDescent="0.25">
      <c r="L3" s="15" t="s">
        <v>9</v>
      </c>
      <c r="M3" s="14"/>
      <c r="N3" s="14"/>
      <c r="O3" s="14"/>
    </row>
    <row r="4" spans="1:15" ht="40.5" x14ac:dyDescent="0.25">
      <c r="A4" s="5" t="s">
        <v>0</v>
      </c>
      <c r="B4" s="6" t="s">
        <v>1</v>
      </c>
      <c r="C4" s="6" t="s">
        <v>2</v>
      </c>
      <c r="D4" s="7" t="s">
        <v>3</v>
      </c>
      <c r="L4" s="14"/>
      <c r="M4" s="14"/>
      <c r="N4" s="14"/>
      <c r="O4" s="14"/>
    </row>
    <row r="5" spans="1:15" ht="17.25" x14ac:dyDescent="0.25">
      <c r="A5" s="8">
        <v>1</v>
      </c>
      <c r="B5" s="9" t="s">
        <v>4</v>
      </c>
      <c r="C5" s="9">
        <v>78</v>
      </c>
      <c r="D5" s="10" t="str">
        <f>IF(Table1[[#This Row],[Marks]]&gt;=40,"Pass","Fail")</f>
        <v>Pass</v>
      </c>
      <c r="L5" s="14"/>
      <c r="M5" s="14"/>
      <c r="N5" s="14"/>
      <c r="O5" s="14"/>
    </row>
    <row r="6" spans="1:15" ht="17.25" x14ac:dyDescent="0.25">
      <c r="A6" s="8">
        <v>2</v>
      </c>
      <c r="B6" s="9" t="s">
        <v>5</v>
      </c>
      <c r="C6" s="9">
        <v>35</v>
      </c>
      <c r="D6" s="10" t="str">
        <f>IF(Table1[[#This Row],[Marks]]&gt;=40,"Pass","Fail")</f>
        <v>Fail</v>
      </c>
    </row>
    <row r="7" spans="1:15" ht="17.25" x14ac:dyDescent="0.25">
      <c r="A7" s="8">
        <v>3</v>
      </c>
      <c r="B7" s="9" t="s">
        <v>6</v>
      </c>
      <c r="C7" s="9">
        <v>62</v>
      </c>
      <c r="D7" s="10" t="str">
        <f>IF(Table1[[#This Row],[Marks]]&gt;=40,"Pass","Fail")</f>
        <v>Pass</v>
      </c>
    </row>
    <row r="8" spans="1:15" ht="17.25" x14ac:dyDescent="0.25">
      <c r="A8" s="8">
        <v>4</v>
      </c>
      <c r="B8" s="9" t="s">
        <v>7</v>
      </c>
      <c r="C8" s="9">
        <v>40</v>
      </c>
      <c r="D8" s="10" t="str">
        <f>IF(Table1[[#This Row],[Marks]]&gt;=40,"Pass","Fail")</f>
        <v>Pass</v>
      </c>
    </row>
    <row r="9" spans="1:15" ht="17.25" x14ac:dyDescent="0.25">
      <c r="A9" s="11">
        <v>5</v>
      </c>
      <c r="B9" s="12" t="s">
        <v>8</v>
      </c>
      <c r="C9" s="12">
        <v>28</v>
      </c>
      <c r="D9" s="13" t="str">
        <f>IF(Table1[[#This Row],[Marks]]&gt;=40,"Pass","Fail")</f>
        <v>Fail</v>
      </c>
    </row>
    <row r="10" spans="1:15" ht="17.25" x14ac:dyDescent="0.25">
      <c r="A10" s="8">
        <v>6</v>
      </c>
      <c r="B10" s="9" t="s">
        <v>10</v>
      </c>
      <c r="C10" s="9">
        <v>70</v>
      </c>
      <c r="D10" s="18" t="str">
        <f>IF(Table1[[#This Row],[Marks]]&gt;=40,"Pass","Fail")</f>
        <v>Pass</v>
      </c>
    </row>
    <row r="11" spans="1:15" ht="17.25" x14ac:dyDescent="0.25">
      <c r="A11" s="8">
        <v>7</v>
      </c>
      <c r="B11" s="9" t="s">
        <v>11</v>
      </c>
      <c r="C11" s="9">
        <v>30</v>
      </c>
      <c r="D11" s="18" t="str">
        <f>IF(Table1[[#This Row],[Marks]]&gt;=40,"Pass","Fail")</f>
        <v>Fail</v>
      </c>
    </row>
    <row r="12" spans="1:15" ht="17.25" x14ac:dyDescent="0.25">
      <c r="A12" s="8">
        <v>8</v>
      </c>
      <c r="B12" s="9" t="s">
        <v>12</v>
      </c>
      <c r="C12" s="9">
        <v>58</v>
      </c>
      <c r="D12" s="18" t="str">
        <f>IF(Table1[[#This Row],[Marks]]&gt;=40,"Pass","Fail")</f>
        <v>Pass</v>
      </c>
    </row>
    <row r="13" spans="1:15" ht="17.25" x14ac:dyDescent="0.25">
      <c r="A13" s="8">
        <v>9</v>
      </c>
      <c r="B13" s="9" t="s">
        <v>13</v>
      </c>
      <c r="C13" s="9">
        <v>63</v>
      </c>
      <c r="D13" s="18" t="str">
        <f>IF(Table1[[#This Row],[Marks]]&gt;=40,"Pass","Fail")</f>
        <v>Pass</v>
      </c>
    </row>
    <row r="14" spans="1:15" ht="17.25" x14ac:dyDescent="0.25">
      <c r="A14" s="11">
        <v>10</v>
      </c>
      <c r="B14" s="9" t="s">
        <v>14</v>
      </c>
      <c r="C14" s="9">
        <v>46</v>
      </c>
      <c r="D14" s="18" t="str">
        <f>IF(Table1[[#This Row],[Marks]]&gt;=40,"Pass","Fail")</f>
        <v>Pass</v>
      </c>
    </row>
    <row r="15" spans="1:15" ht="17.25" x14ac:dyDescent="0.25">
      <c r="A15" s="8">
        <v>11</v>
      </c>
      <c r="B15" s="9" t="s">
        <v>15</v>
      </c>
      <c r="C15" s="9">
        <v>54</v>
      </c>
      <c r="D15" s="18" t="str">
        <f>IF(Table1[[#This Row],[Marks]]&gt;=40,"Pass","Fail")</f>
        <v>Pass</v>
      </c>
    </row>
    <row r="16" spans="1:15" ht="17.25" x14ac:dyDescent="0.25">
      <c r="A16" s="8">
        <v>12</v>
      </c>
      <c r="B16" s="9" t="s">
        <v>16</v>
      </c>
      <c r="C16" s="9">
        <v>93</v>
      </c>
      <c r="D16" s="18" t="str">
        <f>IF(Table1[[#This Row],[Marks]]&gt;=40,"Pass","Fail")</f>
        <v>Pass</v>
      </c>
    </row>
    <row r="17" spans="1:4" ht="17.25" x14ac:dyDescent="0.25">
      <c r="A17" s="8">
        <v>13</v>
      </c>
      <c r="B17" s="9" t="s">
        <v>17</v>
      </c>
      <c r="C17" s="9">
        <v>44</v>
      </c>
      <c r="D17" s="18" t="str">
        <f>IF(Table1[[#This Row],[Marks]]&gt;=40,"Pass","Fail")</f>
        <v>Pass</v>
      </c>
    </row>
    <row r="18" spans="1:4" ht="17.25" x14ac:dyDescent="0.25">
      <c r="A18" s="8">
        <v>14</v>
      </c>
      <c r="B18" s="9" t="s">
        <v>18</v>
      </c>
      <c r="C18" s="9">
        <v>57</v>
      </c>
      <c r="D18" s="18" t="str">
        <f>IF(Table1[[#This Row],[Marks]]&gt;=40,"Pass","Fail")</f>
        <v>Pass</v>
      </c>
    </row>
    <row r="19" spans="1:4" ht="17.25" x14ac:dyDescent="0.25">
      <c r="A19" s="11">
        <v>15</v>
      </c>
      <c r="B19" s="9" t="s">
        <v>19</v>
      </c>
      <c r="C19" s="9">
        <v>22</v>
      </c>
      <c r="D19" s="18" t="str">
        <f>IF(Table1[[#This Row],[Marks]]&gt;=40,"Pass","Fail")</f>
        <v>Fail</v>
      </c>
    </row>
    <row r="20" spans="1:4" ht="17.25" x14ac:dyDescent="0.25">
      <c r="A20" s="8">
        <v>16</v>
      </c>
      <c r="B20" s="9" t="s">
        <v>20</v>
      </c>
      <c r="C20" s="9">
        <v>52</v>
      </c>
      <c r="D20" s="18" t="str">
        <f>IF(Table1[[#This Row],[Marks]]&gt;=40,"Pass","Fail")</f>
        <v>Pass</v>
      </c>
    </row>
    <row r="21" spans="1:4" ht="17.25" x14ac:dyDescent="0.25">
      <c r="A21" s="8">
        <v>17</v>
      </c>
      <c r="B21" s="9" t="s">
        <v>21</v>
      </c>
      <c r="C21" s="9">
        <v>25</v>
      </c>
      <c r="D21" s="18" t="str">
        <f>IF(Table1[[#This Row],[Marks]]&gt;=40,"Pass","Fail")</f>
        <v>Fail</v>
      </c>
    </row>
  </sheetData>
  <mergeCells count="1">
    <mergeCell ref="L3:O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F430-7022-43A0-A4C9-4F2AFBDB6C8D}">
  <dimension ref="A5:N18"/>
  <sheetViews>
    <sheetView workbookViewId="0">
      <selection activeCell="E22" sqref="E22"/>
    </sheetView>
  </sheetViews>
  <sheetFormatPr defaultRowHeight="15" x14ac:dyDescent="0.25"/>
  <cols>
    <col min="1" max="1" width="21.28515625" customWidth="1"/>
    <col min="2" max="2" width="10.140625" customWidth="1"/>
    <col min="3" max="3" width="30.42578125" customWidth="1"/>
  </cols>
  <sheetData>
    <row r="5" spans="1:14" s="28" customFormat="1" ht="40.5" x14ac:dyDescent="0.3">
      <c r="A5" s="5" t="s">
        <v>22</v>
      </c>
      <c r="B5" s="6" t="s">
        <v>23</v>
      </c>
      <c r="C5" s="7" t="s">
        <v>24</v>
      </c>
      <c r="K5" s="30" t="s">
        <v>29</v>
      </c>
      <c r="L5" s="31"/>
      <c r="M5" s="31"/>
      <c r="N5" s="31"/>
    </row>
    <row r="6" spans="1:14" ht="17.25" x14ac:dyDescent="0.25">
      <c r="A6" s="8" t="s">
        <v>25</v>
      </c>
      <c r="B6" s="9">
        <v>28000</v>
      </c>
      <c r="C6" s="10" t="str">
        <f>IF(Table2[[#This Row],[Salary]]&gt;=40000,"Bonus","No Bonus")</f>
        <v>No Bonus</v>
      </c>
      <c r="K6" s="31"/>
      <c r="L6" s="31"/>
      <c r="M6" s="31"/>
      <c r="N6" s="31"/>
    </row>
    <row r="7" spans="1:14" ht="17.25" x14ac:dyDescent="0.25">
      <c r="A7" s="8" t="s">
        <v>26</v>
      </c>
      <c r="B7" s="9">
        <v>45000</v>
      </c>
      <c r="C7" s="10" t="str">
        <f>IF(Table2[[#This Row],[Salary]]&gt;=40000,"Bonus","No Bonus")</f>
        <v>Bonus</v>
      </c>
      <c r="K7" s="31"/>
      <c r="L7" s="31"/>
      <c r="M7" s="31"/>
      <c r="N7" s="31"/>
    </row>
    <row r="8" spans="1:14" ht="17.25" x14ac:dyDescent="0.25">
      <c r="A8" s="8" t="s">
        <v>27</v>
      </c>
      <c r="B8" s="9">
        <v>52000</v>
      </c>
      <c r="C8" s="10" t="str">
        <f>IF(Table2[[#This Row],[Salary]]&gt;=40000,"Bonus","No Bonus")</f>
        <v>Bonus</v>
      </c>
      <c r="K8" s="31"/>
      <c r="L8" s="31"/>
      <c r="M8" s="31"/>
      <c r="N8" s="31"/>
    </row>
    <row r="9" spans="1:14" ht="17.25" x14ac:dyDescent="0.25">
      <c r="A9" s="8" t="s">
        <v>28</v>
      </c>
      <c r="B9" s="9">
        <v>30000</v>
      </c>
      <c r="C9" s="10" t="str">
        <f>IF(Table2[[#This Row],[Salary]]&gt;=40000,"Bonus","No Bonus")</f>
        <v>No Bonus</v>
      </c>
    </row>
    <row r="10" spans="1:14" ht="17.25" x14ac:dyDescent="0.25">
      <c r="A10" s="8" t="s">
        <v>10</v>
      </c>
      <c r="B10" s="9">
        <v>63401</v>
      </c>
      <c r="C10" s="10" t="str">
        <f>IF(Table2[[#This Row],[Salary]]&gt;=40000,"Bonus","No Bonus")</f>
        <v>Bonus</v>
      </c>
    </row>
    <row r="11" spans="1:14" ht="17.25" x14ac:dyDescent="0.25">
      <c r="A11" s="8" t="s">
        <v>11</v>
      </c>
      <c r="B11" s="9">
        <v>51896</v>
      </c>
      <c r="C11" s="10" t="str">
        <f>IF(Table2[[#This Row],[Salary]]&gt;=40000,"Bonus","No Bonus")</f>
        <v>Bonus</v>
      </c>
    </row>
    <row r="12" spans="1:14" ht="17.25" x14ac:dyDescent="0.25">
      <c r="A12" s="8" t="s">
        <v>15</v>
      </c>
      <c r="B12" s="9">
        <v>54827</v>
      </c>
      <c r="C12" s="10" t="str">
        <f>IF(Table2[[#This Row],[Salary]]&gt;=40000,"Bonus","No Bonus")</f>
        <v>Bonus</v>
      </c>
    </row>
    <row r="13" spans="1:14" ht="17.25" x14ac:dyDescent="0.25">
      <c r="A13" s="8" t="s">
        <v>12</v>
      </c>
      <c r="B13" s="9">
        <v>63611</v>
      </c>
      <c r="C13" s="10" t="str">
        <f>IF(Table2[[#This Row],[Salary]]&gt;=40000,"Bonus","No Bonus")</f>
        <v>Bonus</v>
      </c>
    </row>
    <row r="14" spans="1:14" ht="17.25" x14ac:dyDescent="0.25">
      <c r="A14" s="8" t="s">
        <v>16</v>
      </c>
      <c r="B14" s="9">
        <v>43710</v>
      </c>
      <c r="C14" s="10" t="str">
        <f>IF(Table2[[#This Row],[Salary]]&gt;=40000,"Bonus","No Bonus")</f>
        <v>Bonus</v>
      </c>
    </row>
    <row r="15" spans="1:14" ht="17.25" x14ac:dyDescent="0.25">
      <c r="A15" s="8" t="s">
        <v>20</v>
      </c>
      <c r="B15" s="9">
        <v>41662</v>
      </c>
      <c r="C15" s="10" t="str">
        <f>IF(Table2[[#This Row],[Salary]]&gt;=40000,"Bonus","No Bonus")</f>
        <v>Bonus</v>
      </c>
    </row>
    <row r="16" spans="1:14" ht="17.25" x14ac:dyDescent="0.25">
      <c r="A16" s="8" t="s">
        <v>19</v>
      </c>
      <c r="B16" s="9">
        <v>72181</v>
      </c>
      <c r="C16" s="10" t="str">
        <f>IF(Table2[[#This Row],[Salary]]&gt;=40000,"Bonus","No Bonus")</f>
        <v>Bonus</v>
      </c>
    </row>
    <row r="17" spans="1:3" ht="17.25" x14ac:dyDescent="0.25">
      <c r="A17" s="8" t="s">
        <v>13</v>
      </c>
      <c r="B17" s="9">
        <v>46676</v>
      </c>
      <c r="C17" s="10" t="str">
        <f>IF(Table2[[#This Row],[Salary]]&gt;=40000,"Bonus","No Bonus")</f>
        <v>Bonus</v>
      </c>
    </row>
    <row r="18" spans="1:3" ht="17.25" x14ac:dyDescent="0.25">
      <c r="A18" s="11" t="s">
        <v>17</v>
      </c>
      <c r="B18" s="9">
        <v>42203</v>
      </c>
      <c r="C18" s="13" t="str">
        <f>IF(Table2[[#This Row],[Salary]]&gt;=40000,"Bonus","No Bonus")</f>
        <v>Bonus</v>
      </c>
    </row>
  </sheetData>
  <mergeCells count="1">
    <mergeCell ref="K5:N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8C8A-041D-4110-88E2-58AF71152FCA}">
  <dimension ref="A5:L21"/>
  <sheetViews>
    <sheetView workbookViewId="0">
      <selection activeCell="C6" sqref="C6"/>
    </sheetView>
  </sheetViews>
  <sheetFormatPr defaultRowHeight="15" x14ac:dyDescent="0.25"/>
  <cols>
    <col min="1" max="1" width="30.28515625" customWidth="1"/>
    <col min="2" max="2" width="10" customWidth="1"/>
    <col min="3" max="3" width="9.85546875" customWidth="1"/>
  </cols>
  <sheetData>
    <row r="5" spans="1:12" ht="21" thickBot="1" x14ac:dyDescent="0.3">
      <c r="A5" s="32" t="s">
        <v>1</v>
      </c>
      <c r="B5" s="33" t="s">
        <v>2</v>
      </c>
      <c r="C5" s="34" t="s">
        <v>30</v>
      </c>
      <c r="J5" s="16" t="s">
        <v>31</v>
      </c>
      <c r="K5" s="17"/>
      <c r="L5" s="17"/>
    </row>
    <row r="6" spans="1:12" ht="18" thickBot="1" x14ac:dyDescent="0.3">
      <c r="A6" s="35" t="s">
        <v>4</v>
      </c>
      <c r="B6" s="36">
        <v>82</v>
      </c>
      <c r="C6" s="37" t="str">
        <f>IF(Table3[[#This Row],[Marks]]&gt;=75,"A",IF(Table3[[#This Row],[Marks]]&gt;=60,"B",IF(Table3[[#This Row],[Marks]]&gt;=40,"C","Fail")))</f>
        <v>A</v>
      </c>
      <c r="J6" s="17"/>
      <c r="K6" s="17"/>
      <c r="L6" s="17"/>
    </row>
    <row r="7" spans="1:12" ht="18" thickBot="1" x14ac:dyDescent="0.3">
      <c r="A7" s="35" t="s">
        <v>5</v>
      </c>
      <c r="B7" s="36">
        <v>67</v>
      </c>
      <c r="C7" s="37" t="str">
        <f>IF(Table3[[#This Row],[Marks]]&gt;=75,"A",IF(Table3[[#This Row],[Marks]]&gt;=60,"B",IF(Table3[[#This Row],[Marks]]&gt;=40,"C","Fail")))</f>
        <v>B</v>
      </c>
      <c r="J7" s="17"/>
      <c r="K7" s="17"/>
      <c r="L7" s="17"/>
    </row>
    <row r="8" spans="1:12" ht="18" thickBot="1" x14ac:dyDescent="0.3">
      <c r="A8" s="35" t="s">
        <v>6</v>
      </c>
      <c r="B8" s="36">
        <v>45</v>
      </c>
      <c r="C8" s="37" t="str">
        <f>IF(Table3[[#This Row],[Marks]]&gt;=75,"A",IF(Table3[[#This Row],[Marks]]&gt;=60,"B",IF(Table3[[#This Row],[Marks]]&gt;=40,"C","Fail")))</f>
        <v>C</v>
      </c>
      <c r="J8" s="17"/>
      <c r="K8" s="17"/>
      <c r="L8" s="17"/>
    </row>
    <row r="9" spans="1:12" ht="18" thickBot="1" x14ac:dyDescent="0.3">
      <c r="A9" s="35" t="s">
        <v>7</v>
      </c>
      <c r="B9" s="36">
        <v>33</v>
      </c>
      <c r="C9" s="37" t="str">
        <f>IF(Table3[[#This Row],[Marks]]&gt;=75,"A",IF(Table3[[#This Row],[Marks]]&gt;=60,"B",IF(Table3[[#This Row],[Marks]]&gt;=40,"C","Fail")))</f>
        <v>Fail</v>
      </c>
      <c r="J9" s="17"/>
      <c r="K9" s="17"/>
      <c r="L9" s="17"/>
    </row>
    <row r="10" spans="1:12" ht="18" thickBot="1" x14ac:dyDescent="0.3">
      <c r="A10" s="38" t="s">
        <v>8</v>
      </c>
      <c r="B10" s="39">
        <v>90</v>
      </c>
      <c r="C10" s="40" t="str">
        <f>IF(Table3[[#This Row],[Marks]]&gt;=75,"A",IF(Table3[[#This Row],[Marks]]&gt;=60,"B",IF(Table3[[#This Row],[Marks]]&gt;=40,"C","Fail")))</f>
        <v>A</v>
      </c>
      <c r="J10" s="17"/>
      <c r="K10" s="17"/>
      <c r="L10" s="17"/>
    </row>
    <row r="11" spans="1:12" ht="18" thickBot="1" x14ac:dyDescent="0.3">
      <c r="A11" s="38" t="s">
        <v>10</v>
      </c>
      <c r="B11" s="39">
        <v>70</v>
      </c>
      <c r="C11" s="41" t="str">
        <f>IF(Table3[[#This Row],[Marks]]&gt;=75,"A",IF(Table3[[#This Row],[Marks]]&gt;=60,"B",IF(Table3[[#This Row],[Marks]]&gt;=40,"C","Fail")))</f>
        <v>B</v>
      </c>
      <c r="J11" s="17"/>
      <c r="K11" s="17"/>
      <c r="L11" s="17"/>
    </row>
    <row r="12" spans="1:12" ht="18" thickBot="1" x14ac:dyDescent="0.3">
      <c r="A12" s="38" t="s">
        <v>16</v>
      </c>
      <c r="B12" s="39">
        <v>55</v>
      </c>
      <c r="C12" s="41" t="str">
        <f>IF(Table3[[#This Row],[Marks]]&gt;=75,"A",IF(Table3[[#This Row],[Marks]]&gt;=60,"B",IF(Table3[[#This Row],[Marks]]&gt;=40,"C","Fail")))</f>
        <v>C</v>
      </c>
    </row>
    <row r="13" spans="1:12" ht="18" thickBot="1" x14ac:dyDescent="0.3">
      <c r="A13" s="38" t="s">
        <v>32</v>
      </c>
      <c r="B13" s="39">
        <v>72</v>
      </c>
      <c r="C13" s="41" t="str">
        <f>IF(Table3[[#This Row],[Marks]]&gt;=75,"A",IF(Table3[[#This Row],[Marks]]&gt;=60,"B",IF(Table3[[#This Row],[Marks]]&gt;=40,"C","Fail")))</f>
        <v>B</v>
      </c>
    </row>
    <row r="14" spans="1:12" ht="18" thickBot="1" x14ac:dyDescent="0.3">
      <c r="A14" s="38" t="s">
        <v>33</v>
      </c>
      <c r="B14" s="39">
        <v>44</v>
      </c>
      <c r="C14" s="41" t="str">
        <f>IF(Table3[[#This Row],[Marks]]&gt;=75,"A",IF(Table3[[#This Row],[Marks]]&gt;=60,"B",IF(Table3[[#This Row],[Marks]]&gt;=40,"C","Fail")))</f>
        <v>C</v>
      </c>
    </row>
    <row r="15" spans="1:12" ht="18" thickBot="1" x14ac:dyDescent="0.3">
      <c r="A15" s="38" t="s">
        <v>20</v>
      </c>
      <c r="B15" s="39">
        <v>37</v>
      </c>
      <c r="C15" s="41" t="str">
        <f>IF(Table3[[#This Row],[Marks]]&gt;=75,"A",IF(Table3[[#This Row],[Marks]]&gt;=60,"B",IF(Table3[[#This Row],[Marks]]&gt;=40,"C","Fail")))</f>
        <v>Fail</v>
      </c>
    </row>
    <row r="16" spans="1:12" ht="18" thickBot="1" x14ac:dyDescent="0.3">
      <c r="A16" s="38" t="s">
        <v>17</v>
      </c>
      <c r="B16" s="39">
        <v>77</v>
      </c>
      <c r="C16" s="41" t="str">
        <f>IF(Table3[[#This Row],[Marks]]&gt;=75,"A",IF(Table3[[#This Row],[Marks]]&gt;=60,"B",IF(Table3[[#This Row],[Marks]]&gt;=40,"C","Fail")))</f>
        <v>A</v>
      </c>
    </row>
    <row r="17" spans="1:3" ht="18" thickBot="1" x14ac:dyDescent="0.3">
      <c r="A17" s="38" t="s">
        <v>11</v>
      </c>
      <c r="B17" s="39">
        <v>53</v>
      </c>
      <c r="C17" s="41" t="str">
        <f>IF(Table3[[#This Row],[Marks]]&gt;=75,"A",IF(Table3[[#This Row],[Marks]]&gt;=60,"B",IF(Table3[[#This Row],[Marks]]&gt;=40,"C","Fail")))</f>
        <v>C</v>
      </c>
    </row>
    <row r="18" spans="1:3" ht="18" thickBot="1" x14ac:dyDescent="0.3">
      <c r="A18" s="38" t="s">
        <v>12</v>
      </c>
      <c r="B18" s="39">
        <v>32</v>
      </c>
      <c r="C18" s="41" t="str">
        <f>IF(Table3[[#This Row],[Marks]]&gt;=75,"A",IF(Table3[[#This Row],[Marks]]&gt;=60,"B",IF(Table3[[#This Row],[Marks]]&gt;=40,"C","Fail")))</f>
        <v>Fail</v>
      </c>
    </row>
    <row r="19" spans="1:3" ht="18" thickBot="1" x14ac:dyDescent="0.3">
      <c r="A19" s="38" t="s">
        <v>13</v>
      </c>
      <c r="B19" s="39">
        <v>33</v>
      </c>
      <c r="C19" s="41" t="str">
        <f>IF(Table3[[#This Row],[Marks]]&gt;=75,"A",IF(Table3[[#This Row],[Marks]]&gt;=60,"B",IF(Table3[[#This Row],[Marks]]&gt;=40,"C","Fail")))</f>
        <v>Fail</v>
      </c>
    </row>
    <row r="20" spans="1:3" ht="18" thickBot="1" x14ac:dyDescent="0.3">
      <c r="A20" s="38" t="s">
        <v>34</v>
      </c>
      <c r="B20" s="39">
        <v>93</v>
      </c>
      <c r="C20" s="41" t="str">
        <f>IF(Table3[[#This Row],[Marks]]&gt;=75,"A",IF(Table3[[#This Row],[Marks]]&gt;=60,"B",IF(Table3[[#This Row],[Marks]]&gt;=40,"C","Fail")))</f>
        <v>A</v>
      </c>
    </row>
    <row r="21" spans="1:3" ht="17.25" x14ac:dyDescent="0.25">
      <c r="A21" s="38" t="s">
        <v>19</v>
      </c>
      <c r="B21" s="39">
        <v>48</v>
      </c>
      <c r="C21" s="41" t="str">
        <f>IF(Table3[[#This Row],[Marks]]&gt;=75,"A",IF(Table3[[#This Row],[Marks]]&gt;=60,"B",IF(Table3[[#This Row],[Marks]]&gt;=40,"C","Fail")))</f>
        <v>C</v>
      </c>
    </row>
  </sheetData>
  <mergeCells count="1">
    <mergeCell ref="J5:L1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5485-0FDF-427F-9C00-56FA8DD8D81E}">
  <dimension ref="A4:M18"/>
  <sheetViews>
    <sheetView workbookViewId="0">
      <selection activeCell="D6" sqref="D6"/>
    </sheetView>
  </sheetViews>
  <sheetFormatPr defaultRowHeight="15" x14ac:dyDescent="0.25"/>
  <cols>
    <col min="1" max="1" width="9.7109375" customWidth="1"/>
    <col min="3" max="3" width="23.7109375" customWidth="1"/>
    <col min="4" max="4" width="14.140625" bestFit="1" customWidth="1"/>
  </cols>
  <sheetData>
    <row r="4" spans="1:13" x14ac:dyDescent="0.25">
      <c r="J4" s="14" t="s">
        <v>39</v>
      </c>
      <c r="K4" s="14"/>
      <c r="L4" s="14"/>
      <c r="M4" s="14"/>
    </row>
    <row r="5" spans="1:13" ht="17.25" x14ac:dyDescent="0.25">
      <c r="A5" s="42" t="s">
        <v>35</v>
      </c>
      <c r="B5" s="43" t="s">
        <v>36</v>
      </c>
      <c r="C5" s="43" t="s">
        <v>37</v>
      </c>
      <c r="D5" s="44" t="s">
        <v>38</v>
      </c>
      <c r="J5" s="14"/>
      <c r="K5" s="14"/>
      <c r="L5" s="14"/>
      <c r="M5" s="14"/>
    </row>
    <row r="6" spans="1:13" ht="17.25" x14ac:dyDescent="0.25">
      <c r="A6" s="1" t="s">
        <v>25</v>
      </c>
      <c r="B6" s="2">
        <v>25</v>
      </c>
      <c r="C6" s="2">
        <v>2</v>
      </c>
      <c r="D6" s="3" t="str">
        <f>IF(AND(Table4[[#This Row],[Age]]&gt;=21, Table4[[#This Row],[Experience (Years)]]&gt;=1), "Eligible", "Not Eligible")</f>
        <v>Eligible</v>
      </c>
    </row>
    <row r="7" spans="1:13" ht="17.25" x14ac:dyDescent="0.25">
      <c r="A7" s="1" t="s">
        <v>26</v>
      </c>
      <c r="B7" s="2">
        <v>20</v>
      </c>
      <c r="C7" s="2">
        <v>1</v>
      </c>
      <c r="D7" s="3" t="str">
        <f>IF(AND(Table4[[#This Row],[Age]]&gt;=21, Table4[[#This Row],[Experience (Years)]]&gt;=1), "Eligible", "Not Eligible")</f>
        <v>Not Eligible</v>
      </c>
    </row>
    <row r="8" spans="1:13" ht="17.25" x14ac:dyDescent="0.25">
      <c r="A8" s="1" t="s">
        <v>27</v>
      </c>
      <c r="B8" s="2">
        <v>30</v>
      </c>
      <c r="C8" s="2">
        <v>5</v>
      </c>
      <c r="D8" s="3" t="str">
        <f>IF(AND(Table4[[#This Row],[Age]]&gt;=21, Table4[[#This Row],[Experience (Years)]]&gt;=1), "Eligible", "Not Eligible")</f>
        <v>Eligible</v>
      </c>
    </row>
    <row r="9" spans="1:13" ht="17.25" x14ac:dyDescent="0.25">
      <c r="A9" s="1" t="s">
        <v>28</v>
      </c>
      <c r="B9" s="2">
        <v>22</v>
      </c>
      <c r="C9" s="2">
        <v>0</v>
      </c>
      <c r="D9" s="3" t="str">
        <f>IF(AND(Table4[[#This Row],[Age]]&gt;=21, Table4[[#This Row],[Experience (Years)]]&gt;=1), "Eligible", "Not Eligible")</f>
        <v>Not Eligible</v>
      </c>
    </row>
    <row r="10" spans="1:13" ht="16.5" x14ac:dyDescent="0.25">
      <c r="A10" s="45" t="s">
        <v>10</v>
      </c>
      <c r="B10" s="46">
        <v>26</v>
      </c>
      <c r="C10" s="46">
        <v>1</v>
      </c>
      <c r="D10" s="47" t="str">
        <f>IF(AND(Table4[[#This Row],[Age]]&gt;=21, Table4[[#This Row],[Experience (Years)]]&gt;=1), "Eligible", "Not Eligible")</f>
        <v>Eligible</v>
      </c>
    </row>
    <row r="11" spans="1:13" ht="16.5" x14ac:dyDescent="0.25">
      <c r="A11" s="45" t="s">
        <v>11</v>
      </c>
      <c r="B11" s="46">
        <v>30</v>
      </c>
      <c r="C11" s="46">
        <v>2</v>
      </c>
      <c r="D11" s="47" t="str">
        <f>IF(AND(Table4[[#This Row],[Age]]&gt;=21, Table4[[#This Row],[Experience (Years)]]&gt;=1), "Eligible", "Not Eligible")</f>
        <v>Eligible</v>
      </c>
    </row>
    <row r="12" spans="1:13" ht="16.5" x14ac:dyDescent="0.25">
      <c r="A12" s="45" t="s">
        <v>25</v>
      </c>
      <c r="B12" s="46">
        <v>20</v>
      </c>
      <c r="C12" s="46">
        <v>6</v>
      </c>
      <c r="D12" s="47" t="str">
        <f>IF(AND(Table4[[#This Row],[Age]]&gt;=21, Table4[[#This Row],[Experience (Years)]]&gt;=1), "Eligible", "Not Eligible")</f>
        <v>Not Eligible</v>
      </c>
    </row>
    <row r="13" spans="1:13" ht="16.5" x14ac:dyDescent="0.25">
      <c r="A13" s="45" t="s">
        <v>32</v>
      </c>
      <c r="B13" s="46">
        <v>29</v>
      </c>
      <c r="C13" s="46">
        <v>0</v>
      </c>
      <c r="D13" s="47" t="str">
        <f>IF(AND(Table4[[#This Row],[Age]]&gt;=21, Table4[[#This Row],[Experience (Years)]]&gt;=1), "Eligible", "Not Eligible")</f>
        <v>Not Eligible</v>
      </c>
    </row>
    <row r="14" spans="1:13" ht="16.5" x14ac:dyDescent="0.25">
      <c r="A14" s="45" t="s">
        <v>40</v>
      </c>
      <c r="B14" s="46">
        <v>24</v>
      </c>
      <c r="C14" s="46">
        <v>4</v>
      </c>
      <c r="D14" s="47" t="str">
        <f>IF(AND(Table4[[#This Row],[Age]]&gt;=21, Table4[[#This Row],[Experience (Years)]]&gt;=1), "Eligible", "Not Eligible")</f>
        <v>Eligible</v>
      </c>
    </row>
    <row r="15" spans="1:13" ht="16.5" x14ac:dyDescent="0.25">
      <c r="A15" s="45" t="s">
        <v>12</v>
      </c>
      <c r="B15" s="46">
        <v>25</v>
      </c>
      <c r="C15" s="46">
        <v>1</v>
      </c>
      <c r="D15" s="47" t="str">
        <f>IF(AND(Table4[[#This Row],[Age]]&gt;=21, Table4[[#This Row],[Experience (Years)]]&gt;=1), "Eligible", "Not Eligible")</f>
        <v>Eligible</v>
      </c>
    </row>
    <row r="16" spans="1:13" ht="16.5" x14ac:dyDescent="0.25">
      <c r="A16" s="45" t="s">
        <v>41</v>
      </c>
      <c r="B16" s="46">
        <v>18</v>
      </c>
      <c r="C16" s="46">
        <v>3</v>
      </c>
      <c r="D16" s="47" t="str">
        <f>IF(AND(Table4[[#This Row],[Age]]&gt;=21, Table4[[#This Row],[Experience (Years)]]&gt;=1), "Eligible", "Not Eligible")</f>
        <v>Not Eligible</v>
      </c>
    </row>
    <row r="17" spans="1:4" ht="16.5" x14ac:dyDescent="0.25">
      <c r="A17" s="45" t="s">
        <v>42</v>
      </c>
      <c r="B17" s="46">
        <v>24</v>
      </c>
      <c r="C17" s="46">
        <v>1</v>
      </c>
      <c r="D17" s="47" t="str">
        <f>IF(AND(Table4[[#This Row],[Age]]&gt;=21, Table4[[#This Row],[Experience (Years)]]&gt;=1), "Eligible", "Not Eligible")</f>
        <v>Eligible</v>
      </c>
    </row>
    <row r="18" spans="1:4" ht="16.5" x14ac:dyDescent="0.25">
      <c r="A18" s="48" t="s">
        <v>43</v>
      </c>
      <c r="B18" s="46">
        <v>29</v>
      </c>
      <c r="C18" s="49">
        <v>5</v>
      </c>
      <c r="D18" s="50" t="str">
        <f>IF(AND(Table4[[#This Row],[Age]]&gt;=21, Table4[[#This Row],[Experience (Years)]]&gt;=1), "Eligible", "Not Eligible")</f>
        <v>Eligible</v>
      </c>
    </row>
  </sheetData>
  <mergeCells count="1">
    <mergeCell ref="J4:M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8646-E2BD-46DD-AC27-A41BD5E7E57E}">
  <dimension ref="A5:P14"/>
  <sheetViews>
    <sheetView workbookViewId="0">
      <selection activeCell="D6" sqref="A6:D14"/>
    </sheetView>
  </sheetViews>
  <sheetFormatPr defaultRowHeight="15" x14ac:dyDescent="0.25"/>
  <cols>
    <col min="1" max="1" width="21.28515625" customWidth="1"/>
    <col min="2" max="2" width="22.85546875" customWidth="1"/>
    <col min="3" max="3" width="17.140625" customWidth="1"/>
    <col min="4" max="4" width="21.28515625" customWidth="1"/>
  </cols>
  <sheetData>
    <row r="5" spans="1:16" ht="18.75" x14ac:dyDescent="0.3">
      <c r="A5" s="51" t="s">
        <v>44</v>
      </c>
      <c r="B5" s="52" t="s">
        <v>45</v>
      </c>
      <c r="C5" s="52" t="s">
        <v>46</v>
      </c>
      <c r="D5" s="53" t="s">
        <v>47</v>
      </c>
      <c r="J5" s="29" t="s">
        <v>53</v>
      </c>
      <c r="K5" s="29"/>
      <c r="L5" s="29"/>
      <c r="M5" s="29"/>
      <c r="N5" s="29"/>
      <c r="O5" s="29"/>
      <c r="P5" s="29"/>
    </row>
    <row r="6" spans="1:16" ht="17.25" x14ac:dyDescent="0.25">
      <c r="A6" s="54" t="s">
        <v>48</v>
      </c>
      <c r="B6" s="54">
        <v>9000</v>
      </c>
      <c r="C6" s="54" t="s">
        <v>49</v>
      </c>
      <c r="D6" s="54" t="str">
        <f>IF(OR(Table5[[#This Row],[Purchase Amount]]&gt;=10000, Table5[[#This Row],[Membership]]="Yes"), "Discount", "No Discount")</f>
        <v>No Discount</v>
      </c>
    </row>
    <row r="7" spans="1:16" ht="17.25" x14ac:dyDescent="0.25">
      <c r="A7" s="54" t="s">
        <v>50</v>
      </c>
      <c r="B7" s="54">
        <v>12000</v>
      </c>
      <c r="C7" s="54" t="s">
        <v>49</v>
      </c>
      <c r="D7" s="54" t="str">
        <f>IF(OR(Table5[[#This Row],[Purchase Amount]]&gt;=10000, Table5[[#This Row],[Membership]]="Yes"), "Discount", "No Discount")</f>
        <v>Discount</v>
      </c>
    </row>
    <row r="8" spans="1:16" ht="17.25" x14ac:dyDescent="0.25">
      <c r="A8" s="54" t="s">
        <v>6</v>
      </c>
      <c r="B8" s="54">
        <v>4000</v>
      </c>
      <c r="C8" s="54" t="s">
        <v>51</v>
      </c>
      <c r="D8" s="54" t="str">
        <f>IF(OR(Table5[[#This Row],[Purchase Amount]]&gt;=10000, Table5[[#This Row],[Membership]]="Yes"), "Discount", "No Discount")</f>
        <v>Discount</v>
      </c>
    </row>
    <row r="9" spans="1:16" ht="17.25" x14ac:dyDescent="0.25">
      <c r="A9" s="54" t="s">
        <v>52</v>
      </c>
      <c r="B9" s="54">
        <v>3000</v>
      </c>
      <c r="C9" s="54" t="s">
        <v>49</v>
      </c>
      <c r="D9" s="54" t="str">
        <f>IF(OR(Table5[[#This Row],[Purchase Amount]]&gt;=10000, Table5[[#This Row],[Membership]]="Yes"), "Discount", "No Discount")</f>
        <v>No Discount</v>
      </c>
    </row>
    <row r="10" spans="1:16" ht="17.25" x14ac:dyDescent="0.25">
      <c r="A10" s="46" t="s">
        <v>10</v>
      </c>
      <c r="B10" s="46">
        <v>12000</v>
      </c>
      <c r="C10" s="54" t="s">
        <v>49</v>
      </c>
      <c r="D10" s="54" t="str">
        <f>IF(OR(Table5[[#This Row],[Purchase Amount]]&gt;=10000, Table5[[#This Row],[Membership]]="Yes"), "Discount", "No Discount")</f>
        <v>Discount</v>
      </c>
    </row>
    <row r="11" spans="1:16" ht="17.25" x14ac:dyDescent="0.25">
      <c r="A11" s="46" t="s">
        <v>12</v>
      </c>
      <c r="B11" s="46">
        <v>7000</v>
      </c>
      <c r="C11" s="54" t="s">
        <v>49</v>
      </c>
      <c r="D11" s="54" t="str">
        <f>IF(OR(Table5[[#This Row],[Purchase Amount]]&gt;=10000, Table5[[#This Row],[Membership]]="Yes"), "Discount", "No Discount")</f>
        <v>No Discount</v>
      </c>
    </row>
    <row r="12" spans="1:16" ht="17.25" x14ac:dyDescent="0.25">
      <c r="A12" s="49" t="s">
        <v>54</v>
      </c>
      <c r="B12" s="49">
        <v>6000</v>
      </c>
      <c r="C12" s="54" t="s">
        <v>51</v>
      </c>
      <c r="D12" s="54" t="str">
        <f>IF(OR(Table5[[#This Row],[Purchase Amount]]&gt;=10000, Table5[[#This Row],[Membership]]="Yes"), "Discount", "No Discount")</f>
        <v>Discount</v>
      </c>
    </row>
    <row r="13" spans="1:16" ht="17.25" x14ac:dyDescent="0.25">
      <c r="A13" s="49" t="s">
        <v>32</v>
      </c>
      <c r="B13" s="49">
        <v>16000</v>
      </c>
      <c r="C13" s="54" t="s">
        <v>49</v>
      </c>
      <c r="D13" s="54" t="str">
        <f>IF(OR(Table5[[#This Row],[Purchase Amount]]&gt;=10000, Table5[[#This Row],[Membership]]="Yes"), "Discount", "No Discount")</f>
        <v>Discount</v>
      </c>
    </row>
    <row r="14" spans="1:16" ht="17.25" x14ac:dyDescent="0.25">
      <c r="A14" s="49" t="s">
        <v>20</v>
      </c>
      <c r="B14" s="49">
        <v>3500</v>
      </c>
      <c r="C14" s="54" t="s">
        <v>49</v>
      </c>
      <c r="D14" s="54" t="str">
        <f>IF(OR(Table5[[#This Row],[Purchase Amount]]&gt;=10000, Table5[[#This Row],[Membership]]="Yes"), "Discount", "No Discount")</f>
        <v>No Discount</v>
      </c>
    </row>
  </sheetData>
  <mergeCells count="1">
    <mergeCell ref="J5:P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21F0-D24C-4EAB-AD50-4032DB6A892D}">
  <dimension ref="A5:N18"/>
  <sheetViews>
    <sheetView workbookViewId="0">
      <selection activeCell="H7" sqref="H7"/>
    </sheetView>
  </sheetViews>
  <sheetFormatPr defaultRowHeight="15" x14ac:dyDescent="0.25"/>
  <cols>
    <col min="1" max="1" width="13.7109375" customWidth="1"/>
    <col min="2" max="2" width="10.140625" customWidth="1"/>
    <col min="3" max="3" width="15.85546875" customWidth="1"/>
    <col min="4" max="4" width="16.28515625" customWidth="1"/>
  </cols>
  <sheetData>
    <row r="5" spans="1:14" ht="17.25" x14ac:dyDescent="0.25">
      <c r="A5" s="42" t="s">
        <v>55</v>
      </c>
      <c r="B5" s="43" t="s">
        <v>23</v>
      </c>
      <c r="C5" s="43" t="s">
        <v>56</v>
      </c>
      <c r="D5" s="44" t="s">
        <v>57</v>
      </c>
      <c r="K5" s="31" t="s">
        <v>64</v>
      </c>
      <c r="L5" s="31"/>
      <c r="M5" s="31"/>
      <c r="N5" s="31"/>
    </row>
    <row r="6" spans="1:14" ht="17.25" x14ac:dyDescent="0.25">
      <c r="A6" s="1" t="s">
        <v>25</v>
      </c>
      <c r="B6" s="2">
        <v>35000</v>
      </c>
      <c r="C6" s="2">
        <v>720</v>
      </c>
      <c r="D6" s="3" t="str">
        <f>IF(OR(Table6[[#This Row],[Salary]]&gt;=40000, Table6[[#This Row],[CIBIL Score]]&gt;=700), "Yes", "No")</f>
        <v>Yes</v>
      </c>
      <c r="K6" s="31"/>
      <c r="L6" s="31"/>
      <c r="M6" s="31"/>
      <c r="N6" s="31"/>
    </row>
    <row r="7" spans="1:14" ht="17.25" x14ac:dyDescent="0.25">
      <c r="A7" s="1" t="s">
        <v>26</v>
      </c>
      <c r="B7" s="2">
        <v>25000</v>
      </c>
      <c r="C7" s="2">
        <v>680</v>
      </c>
      <c r="D7" s="3" t="str">
        <f>IF(OR(Table6[[#This Row],[Salary]]&gt;=40000, Table6[[#This Row],[CIBIL Score]]&gt;=700), "Yes", "No")</f>
        <v>No</v>
      </c>
      <c r="K7" s="31"/>
      <c r="L7" s="31"/>
      <c r="M7" s="31"/>
      <c r="N7" s="31"/>
    </row>
    <row r="8" spans="1:14" ht="17.25" x14ac:dyDescent="0.25">
      <c r="A8" s="1" t="s">
        <v>27</v>
      </c>
      <c r="B8" s="2">
        <v>50000</v>
      </c>
      <c r="C8" s="2">
        <v>650</v>
      </c>
      <c r="D8" s="3" t="str">
        <f>IF(OR(Table6[[#This Row],[Salary]]&gt;=40000, Table6[[#This Row],[CIBIL Score]]&gt;=700), "Yes", "No")</f>
        <v>Yes</v>
      </c>
    </row>
    <row r="9" spans="1:14" ht="17.25" x14ac:dyDescent="0.25">
      <c r="A9" s="1" t="s">
        <v>28</v>
      </c>
      <c r="B9" s="2">
        <v>20000</v>
      </c>
      <c r="C9" s="2">
        <v>600</v>
      </c>
      <c r="D9" s="3" t="str">
        <f>IF(OR(Table6[[#This Row],[Salary]]&gt;=40000, Table6[[#This Row],[CIBIL Score]]&gt;=700), "Yes", "No")</f>
        <v>No</v>
      </c>
    </row>
    <row r="10" spans="1:14" ht="17.25" x14ac:dyDescent="0.25">
      <c r="A10" s="1" t="s">
        <v>10</v>
      </c>
      <c r="B10" s="2">
        <v>25531</v>
      </c>
      <c r="C10" s="2">
        <v>719</v>
      </c>
      <c r="D10" s="3" t="str">
        <f>IF(OR(Table6[[#This Row],[Salary]]&gt;=40000, Table6[[#This Row],[CIBIL Score]]&gt;=700), "Yes", "No")</f>
        <v>Yes</v>
      </c>
    </row>
    <row r="11" spans="1:14" ht="17.25" x14ac:dyDescent="0.25">
      <c r="A11" s="1" t="s">
        <v>16</v>
      </c>
      <c r="B11" s="2">
        <v>163</v>
      </c>
      <c r="C11" s="2">
        <v>586</v>
      </c>
      <c r="D11" s="3" t="str">
        <f>IF(OR(Table6[[#This Row],[Salary]]&gt;=40000, Table6[[#This Row],[CIBIL Score]]&gt;=700), "Yes", "No")</f>
        <v>No</v>
      </c>
    </row>
    <row r="12" spans="1:14" ht="17.25" x14ac:dyDescent="0.25">
      <c r="A12" s="1" t="s">
        <v>17</v>
      </c>
      <c r="B12" s="2">
        <v>84383</v>
      </c>
      <c r="C12" s="2">
        <v>691</v>
      </c>
      <c r="D12" s="3" t="str">
        <f>IF(OR(Table6[[#This Row],[Salary]]&gt;=40000, Table6[[#This Row],[CIBIL Score]]&gt;=700), "Yes", "No")</f>
        <v>Yes</v>
      </c>
    </row>
    <row r="13" spans="1:14" ht="17.25" x14ac:dyDescent="0.25">
      <c r="A13" s="1" t="s">
        <v>58</v>
      </c>
      <c r="B13" s="2">
        <v>89095</v>
      </c>
      <c r="C13" s="2">
        <v>603</v>
      </c>
      <c r="D13" s="3" t="str">
        <f>IF(OR(Table6[[#This Row],[Salary]]&gt;=40000, Table6[[#This Row],[CIBIL Score]]&gt;=700), "Yes", "No")</f>
        <v>Yes</v>
      </c>
    </row>
    <row r="14" spans="1:14" ht="17.25" x14ac:dyDescent="0.25">
      <c r="A14" s="1" t="s">
        <v>59</v>
      </c>
      <c r="B14" s="2">
        <v>40189</v>
      </c>
      <c r="C14" s="2">
        <v>607</v>
      </c>
      <c r="D14" s="3" t="str">
        <f>IF(OR(Table6[[#This Row],[Salary]]&gt;=40000, Table6[[#This Row],[CIBIL Score]]&gt;=700), "Yes", "No")</f>
        <v>Yes</v>
      </c>
    </row>
    <row r="15" spans="1:14" ht="17.25" x14ac:dyDescent="0.25">
      <c r="A15" s="1" t="s">
        <v>60</v>
      </c>
      <c r="B15" s="2">
        <v>36761</v>
      </c>
      <c r="C15" s="2">
        <v>551</v>
      </c>
      <c r="D15" s="3" t="str">
        <f>IF(OR(Table6[[#This Row],[Salary]]&gt;=40000, Table6[[#This Row],[CIBIL Score]]&gt;=700), "Yes", "No")</f>
        <v>No</v>
      </c>
    </row>
    <row r="16" spans="1:14" ht="17.25" x14ac:dyDescent="0.25">
      <c r="A16" s="1" t="s">
        <v>61</v>
      </c>
      <c r="B16" s="2">
        <v>34419</v>
      </c>
      <c r="C16" s="2">
        <v>570</v>
      </c>
      <c r="D16" s="3" t="str">
        <f>IF(OR(Table6[[#This Row],[Salary]]&gt;=40000, Table6[[#This Row],[CIBIL Score]]&gt;=700), "Yes", "No")</f>
        <v>No</v>
      </c>
    </row>
    <row r="17" spans="1:4" ht="17.25" x14ac:dyDescent="0.25">
      <c r="A17" s="1" t="s">
        <v>62</v>
      </c>
      <c r="B17" s="2">
        <v>75353</v>
      </c>
      <c r="C17" s="2">
        <v>500</v>
      </c>
      <c r="D17" s="3" t="str">
        <f>IF(OR(Table6[[#This Row],[Salary]]&gt;=40000, Table6[[#This Row],[CIBIL Score]]&gt;=700), "Yes", "No")</f>
        <v>Yes</v>
      </c>
    </row>
    <row r="18" spans="1:4" ht="17.25" x14ac:dyDescent="0.25">
      <c r="A18" s="4" t="s">
        <v>63</v>
      </c>
      <c r="B18" s="2">
        <v>23682</v>
      </c>
      <c r="C18" s="2">
        <v>580</v>
      </c>
      <c r="D18" s="3" t="str">
        <f>IF(OR(Table6[[#This Row],[Salary]]&gt;=40000, Table6[[#This Row],[CIBIL Score]]&gt;=700), "Yes", "No")</f>
        <v>No</v>
      </c>
    </row>
  </sheetData>
  <mergeCells count="1">
    <mergeCell ref="K5:N7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1BA9-13DB-47CD-90E4-5B0B2F17C621}">
  <dimension ref="A5:M9"/>
  <sheetViews>
    <sheetView workbookViewId="0">
      <selection activeCell="C6" sqref="C6"/>
    </sheetView>
  </sheetViews>
  <sheetFormatPr defaultRowHeight="15" x14ac:dyDescent="0.25"/>
  <cols>
    <col min="1" max="1" width="9.7109375" customWidth="1"/>
    <col min="2" max="2" width="11.5703125" customWidth="1"/>
    <col min="3" max="3" width="10.140625" customWidth="1"/>
  </cols>
  <sheetData>
    <row r="5" spans="1:13" ht="17.25" x14ac:dyDescent="0.25">
      <c r="A5" s="42" t="s">
        <v>35</v>
      </c>
      <c r="B5" s="43" t="s">
        <v>65</v>
      </c>
      <c r="C5" s="44" t="s">
        <v>66</v>
      </c>
      <c r="J5" s="16" t="s">
        <v>67</v>
      </c>
      <c r="K5" s="17"/>
      <c r="L5" s="17"/>
      <c r="M5" s="17"/>
    </row>
    <row r="6" spans="1:13" ht="17.25" x14ac:dyDescent="0.25">
      <c r="A6" s="55" t="s">
        <v>4</v>
      </c>
      <c r="B6" s="56" t="b">
        <v>1</v>
      </c>
      <c r="C6" s="57" t="str">
        <f>IF(NOT(Table7[[#This Row],[Present]]), "Absent", "Present")</f>
        <v>Present</v>
      </c>
      <c r="J6" s="17"/>
      <c r="K6" s="17"/>
      <c r="L6" s="17"/>
      <c r="M6" s="17"/>
    </row>
    <row r="7" spans="1:13" ht="17.25" x14ac:dyDescent="0.25">
      <c r="A7" s="55" t="s">
        <v>5</v>
      </c>
      <c r="B7" s="56" t="b">
        <v>0</v>
      </c>
      <c r="C7" s="57" t="str">
        <f>IF(NOT(Table7[[#This Row],[Present]]), "Absent", "Present")</f>
        <v>Absent</v>
      </c>
      <c r="J7" s="17"/>
      <c r="K7" s="17"/>
      <c r="L7" s="17"/>
      <c r="M7" s="17"/>
    </row>
    <row r="8" spans="1:13" ht="17.25" x14ac:dyDescent="0.25">
      <c r="A8" s="55" t="s">
        <v>6</v>
      </c>
      <c r="B8" s="56" t="b">
        <v>1</v>
      </c>
      <c r="C8" s="57" t="str">
        <f>IF(NOT(Table7[[#This Row],[Present]]), "Absent", "Present")</f>
        <v>Present</v>
      </c>
    </row>
    <row r="9" spans="1:13" ht="17.25" x14ac:dyDescent="0.25">
      <c r="A9" s="58" t="s">
        <v>7</v>
      </c>
      <c r="B9" s="59" t="b">
        <v>0</v>
      </c>
      <c r="C9" s="60" t="str">
        <f>IF(NOT(Table7[[#This Row],[Present]]), "Absent", "Present")</f>
        <v>Absent</v>
      </c>
    </row>
  </sheetData>
  <mergeCells count="1">
    <mergeCell ref="J5:M7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7D77-D336-454B-B8E0-540BC55AC813}">
  <dimension ref="A5:L9"/>
  <sheetViews>
    <sheetView workbookViewId="0">
      <selection activeCell="G9" sqref="G9"/>
    </sheetView>
  </sheetViews>
  <sheetFormatPr defaultRowHeight="15" x14ac:dyDescent="0.25"/>
  <cols>
    <col min="1" max="2" width="14.42578125" customWidth="1"/>
    <col min="3" max="3" width="10.140625" customWidth="1"/>
  </cols>
  <sheetData>
    <row r="5" spans="1:12" ht="17.25" x14ac:dyDescent="0.25">
      <c r="A5" s="61" t="s">
        <v>68</v>
      </c>
      <c r="B5" s="62" t="s">
        <v>69</v>
      </c>
      <c r="C5" s="63" t="s">
        <v>3</v>
      </c>
      <c r="I5" s="16" t="s">
        <v>70</v>
      </c>
      <c r="J5" s="17"/>
      <c r="K5" s="17"/>
      <c r="L5" s="17"/>
    </row>
    <row r="6" spans="1:12" ht="17.25" x14ac:dyDescent="0.25">
      <c r="A6" s="64">
        <v>10</v>
      </c>
      <c r="B6" s="54">
        <v>2</v>
      </c>
      <c r="C6" s="65">
        <f>IFERROR(Table8[[#This Row],[Number 1]]/Table8[[#This Row],[Number 2]],"Invalid")</f>
        <v>5</v>
      </c>
      <c r="I6" s="17"/>
      <c r="J6" s="17"/>
      <c r="K6" s="17"/>
      <c r="L6" s="17"/>
    </row>
    <row r="7" spans="1:12" ht="17.25" x14ac:dyDescent="0.25">
      <c r="A7" s="64">
        <v>15</v>
      </c>
      <c r="B7" s="54">
        <v>0</v>
      </c>
      <c r="C7" s="65" t="str">
        <f>IFERROR(Table8[[#This Row],[Number 1]]/Table8[[#This Row],[Number 2]],"Invalid")</f>
        <v>Invalid</v>
      </c>
      <c r="I7" s="17"/>
      <c r="J7" s="17"/>
      <c r="K7" s="17"/>
      <c r="L7" s="17"/>
    </row>
    <row r="8" spans="1:12" ht="17.25" x14ac:dyDescent="0.25">
      <c r="A8" s="64">
        <v>20</v>
      </c>
      <c r="B8" s="54">
        <v>5</v>
      </c>
      <c r="C8" s="65">
        <f>IFERROR(Table8[[#This Row],[Number 1]]/Table8[[#This Row],[Number 2]],"Invalid")</f>
        <v>4</v>
      </c>
      <c r="I8" s="17"/>
      <c r="J8" s="17"/>
      <c r="K8" s="17"/>
      <c r="L8" s="17"/>
    </row>
    <row r="9" spans="1:12" ht="17.25" x14ac:dyDescent="0.3">
      <c r="A9" s="66">
        <v>8</v>
      </c>
      <c r="B9" s="67">
        <v>0</v>
      </c>
      <c r="C9" s="68" t="str">
        <f>IFERROR(Table8[[#This Row],[Number 1]]/Table8[[#This Row],[Number 2]],"Invalid")</f>
        <v>Invalid</v>
      </c>
    </row>
  </sheetData>
  <mergeCells count="1">
    <mergeCell ref="I5:L8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0598-5D68-4257-A94E-BEAE3B782700}">
  <dimension ref="A5:O9"/>
  <sheetViews>
    <sheetView tabSelected="1" workbookViewId="0">
      <selection activeCell="F18" sqref="F18"/>
    </sheetView>
  </sheetViews>
  <sheetFormatPr defaultRowHeight="15" x14ac:dyDescent="0.25"/>
  <cols>
    <col min="1" max="1" width="21.28515625" customWidth="1"/>
    <col min="2" max="2" width="22.28515625" customWidth="1"/>
    <col min="3" max="3" width="18.42578125" customWidth="1"/>
    <col min="4" max="4" width="17.42578125" customWidth="1"/>
  </cols>
  <sheetData>
    <row r="5" spans="1:15" ht="18" thickBot="1" x14ac:dyDescent="0.3">
      <c r="A5" s="19" t="s">
        <v>22</v>
      </c>
      <c r="B5" s="20" t="s">
        <v>71</v>
      </c>
      <c r="C5" s="20" t="s">
        <v>72</v>
      </c>
      <c r="D5" s="21" t="s">
        <v>73</v>
      </c>
      <c r="I5" s="16" t="s">
        <v>78</v>
      </c>
      <c r="J5" s="17"/>
      <c r="K5" s="17"/>
      <c r="L5" s="17"/>
      <c r="M5" s="17"/>
      <c r="N5" s="17"/>
      <c r="O5" s="17"/>
    </row>
    <row r="6" spans="1:15" ht="18" thickBot="1" x14ac:dyDescent="0.3">
      <c r="A6" s="22" t="s">
        <v>74</v>
      </c>
      <c r="B6" s="23">
        <v>45</v>
      </c>
      <c r="C6" s="23">
        <v>92</v>
      </c>
      <c r="D6" s="24" t="str">
        <f>IF(AND(Table9[[#This Row],[Attendance %]]&gt;=90,Table9[[#This Row],[Targets Achieved]]&gt;=40),"Excellent",IF(Table9[[#This Row],[Attendance %]]&gt;=80,"Good","Need Improvement"))</f>
        <v>Excellent</v>
      </c>
      <c r="I6" s="17"/>
      <c r="J6" s="17"/>
      <c r="K6" s="17"/>
      <c r="L6" s="17"/>
      <c r="M6" s="17"/>
      <c r="N6" s="17"/>
      <c r="O6" s="17"/>
    </row>
    <row r="7" spans="1:15" ht="18" thickBot="1" x14ac:dyDescent="0.3">
      <c r="A7" s="22" t="s">
        <v>75</v>
      </c>
      <c r="B7" s="23">
        <v>38</v>
      </c>
      <c r="C7" s="23">
        <v>85</v>
      </c>
      <c r="D7" s="24" t="str">
        <f>IF(AND(Table9[[#This Row],[Attendance %]]&gt;=90,Table9[[#This Row],[Targets Achieved]]&gt;=40),"Excellent",IF(Table9[[#This Row],[Attendance %]]&gt;=80,"Good","Need Improvement"))</f>
        <v>Good</v>
      </c>
      <c r="I7" s="17"/>
      <c r="J7" s="17"/>
      <c r="K7" s="17"/>
      <c r="L7" s="17"/>
      <c r="M7" s="17"/>
      <c r="N7" s="17"/>
      <c r="O7" s="17"/>
    </row>
    <row r="8" spans="1:15" ht="18" thickBot="1" x14ac:dyDescent="0.3">
      <c r="A8" s="22" t="s">
        <v>76</v>
      </c>
      <c r="B8" s="23">
        <v>50</v>
      </c>
      <c r="C8" s="23">
        <v>95</v>
      </c>
      <c r="D8" s="24" t="str">
        <f>IF(AND(Table9[[#This Row],[Attendance %]]&gt;=90,Table9[[#This Row],[Targets Achieved]]&gt;=40),"Excellent",IF(Table9[[#This Row],[Attendance %]]&gt;=80,"Good","Need Improvement"))</f>
        <v>Excellent</v>
      </c>
      <c r="I8" s="17"/>
      <c r="J8" s="17"/>
      <c r="K8" s="17"/>
      <c r="L8" s="17"/>
      <c r="M8" s="17"/>
      <c r="N8" s="17"/>
      <c r="O8" s="17"/>
    </row>
    <row r="9" spans="1:15" ht="17.25" x14ac:dyDescent="0.25">
      <c r="A9" s="25" t="s">
        <v>77</v>
      </c>
      <c r="B9" s="26">
        <v>30</v>
      </c>
      <c r="C9" s="26">
        <v>70</v>
      </c>
      <c r="D9" s="27" t="str">
        <f>IF(AND(Table9[[#This Row],[Attendance %]]&gt;=90,Table9[[#This Row],[Targets Achieved]]&gt;=40),"Excellent",IF(Table9[[#This Row],[Attendance %]]&gt;=80,"Good","Need Improvement"))</f>
        <v>Need Improvement</v>
      </c>
      <c r="I9" s="17"/>
      <c r="J9" s="17"/>
      <c r="K9" s="17"/>
      <c r="L9" s="17"/>
      <c r="M9" s="17"/>
      <c r="N9" s="17"/>
      <c r="O9" s="17"/>
    </row>
  </sheetData>
  <mergeCells count="1">
    <mergeCell ref="I5:O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Pass   Fail using IF</vt:lpstr>
      <vt:lpstr>Salary Bonus Check (IF)</vt:lpstr>
      <vt:lpstr>Grade Calculation (Nested IF)</vt:lpstr>
      <vt:lpstr>Job Eligibility (AND)</vt:lpstr>
      <vt:lpstr>Discount Logic (OR)</vt:lpstr>
      <vt:lpstr>Loan Approval (OR)</vt:lpstr>
      <vt:lpstr>Attendance Status (NOT)</vt:lpstr>
      <vt:lpstr>Safe Division (IFERROR)</vt:lpstr>
      <vt:lpstr> Performance Evaluation (Combin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ASDC11</dc:creator>
  <cp:lastModifiedBy>ASDC11</cp:lastModifiedBy>
  <dcterms:created xsi:type="dcterms:W3CDTF">2026-01-25T06:02:29Z</dcterms:created>
  <dcterms:modified xsi:type="dcterms:W3CDTF">2026-01-25T07:28:05Z</dcterms:modified>
</cp:coreProperties>
</file>