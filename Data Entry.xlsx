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11\Desktop\Smit\Data_Analytics\"/>
    </mc:Choice>
  </mc:AlternateContent>
  <xr:revisionPtr revIDLastSave="0" documentId="13_ncr:1_{BDD4E60E-9CA7-4271-B455-123665DCBB6A}" xr6:coauthVersionLast="47" xr6:coauthVersionMax="47" xr10:uidLastSave="{00000000-0000-0000-0000-000000000000}"/>
  <bookViews>
    <workbookView xWindow="-120" yWindow="-120" windowWidth="29040" windowHeight="15720" firstSheet="9" activeTab="11" xr2:uid="{76D07AF9-5284-495A-A2FD-6FB15EBF7EF8}"/>
  </bookViews>
  <sheets>
    <sheet name="Data Entry" sheetId="1" r:id="rId1"/>
    <sheet name="Split" sheetId="2" r:id="rId2"/>
    <sheet name="Task3" sheetId="3" r:id="rId3"/>
    <sheet name="Employee Sheet" sheetId="4" r:id="rId4"/>
    <sheet name="Sales Report" sheetId="5" r:id="rId5"/>
    <sheet name="Student Marks Sheet" sheetId="6" r:id="rId6"/>
    <sheet name="Sales Summary" sheetId="7" r:id="rId7"/>
    <sheet name="Department-wise Salary Analysis" sheetId="8" r:id="rId8"/>
    <sheet name=" Attendance Sheet – COUNTIF" sheetId="9" r:id="rId9"/>
    <sheet name="Sales Count Logic" sheetId="10" r:id="rId10"/>
    <sheet name="Conditional Formatting – Sales" sheetId="11" r:id="rId11"/>
    <sheet name="Student Result Highlight" sheetId="12" r:id="rId12"/>
    <sheet name="Salary Band – Conditional Forma" sheetId="13" r:id="rId13"/>
    <sheet name="Sheet7" sheetId="1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12" i="10" l="1"/>
  <c r="N9" i="10"/>
  <c r="G6" i="9"/>
  <c r="H6" i="9" s="1"/>
  <c r="G7" i="9"/>
  <c r="H7" i="9" s="1"/>
  <c r="G8" i="9"/>
  <c r="H8" i="9" s="1"/>
  <c r="G9" i="9"/>
  <c r="H9" i="9" s="1"/>
  <c r="C22" i="8"/>
  <c r="C20" i="8"/>
  <c r="C16" i="8"/>
  <c r="C18" i="8"/>
  <c r="C17" i="8"/>
  <c r="D29" i="7"/>
  <c r="D30" i="7"/>
  <c r="D27" i="7"/>
  <c r="D25" i="7"/>
  <c r="H15" i="6"/>
  <c r="H16" i="6"/>
  <c r="H17" i="6"/>
  <c r="H18" i="6"/>
  <c r="H19" i="6"/>
  <c r="H20" i="6"/>
  <c r="H21" i="6"/>
  <c r="H22" i="6"/>
  <c r="H23" i="6"/>
  <c r="H24" i="6"/>
  <c r="H25" i="6"/>
  <c r="G11" i="6"/>
  <c r="H11" i="6" s="1"/>
  <c r="G12" i="6"/>
  <c r="H12" i="6" s="1"/>
  <c r="G13" i="6"/>
  <c r="H13" i="6" s="1"/>
  <c r="G14" i="6"/>
  <c r="H14" i="6" s="1"/>
  <c r="G15" i="6"/>
  <c r="G16" i="6"/>
  <c r="G17" i="6"/>
  <c r="G18" i="6"/>
  <c r="G19" i="6"/>
  <c r="G20" i="6"/>
  <c r="G21" i="6"/>
  <c r="G22" i="6"/>
  <c r="G23" i="6"/>
  <c r="G24" i="6"/>
  <c r="G25" i="6"/>
  <c r="G6" i="6"/>
  <c r="H6" i="6" s="1"/>
  <c r="G7" i="6"/>
  <c r="H7" i="6" s="1"/>
  <c r="G8" i="6"/>
  <c r="H8" i="6" s="1"/>
  <c r="G9" i="6"/>
  <c r="H9" i="6" s="1"/>
  <c r="G10" i="6"/>
  <c r="H10" i="6" s="1"/>
  <c r="E18" i="1"/>
  <c r="J18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</calcChain>
</file>

<file path=xl/sharedStrings.xml><?xml version="1.0" encoding="utf-8"?>
<sst xmlns="http://schemas.openxmlformats.org/spreadsheetml/2006/main" count="505" uniqueCount="281">
  <si>
    <t>Name</t>
  </si>
  <si>
    <t>Sr. No</t>
  </si>
  <si>
    <t>Age</t>
  </si>
  <si>
    <t>Email</t>
  </si>
  <si>
    <t>Smit</t>
  </si>
  <si>
    <t>Jai</t>
  </si>
  <si>
    <t>Dhairy</t>
  </si>
  <si>
    <t>Pavan</t>
  </si>
  <si>
    <t>Sanjay</t>
  </si>
  <si>
    <t>Jiya</t>
  </si>
  <si>
    <t>Jyoti</t>
  </si>
  <si>
    <t>Hetvi</t>
  </si>
  <si>
    <t>Ravindra</t>
  </si>
  <si>
    <t>Pruthvi</t>
  </si>
  <si>
    <t>Om</t>
  </si>
  <si>
    <t>Shivam</t>
  </si>
  <si>
    <t>Jay</t>
  </si>
  <si>
    <t>Neel</t>
  </si>
  <si>
    <t>Darshil</t>
  </si>
  <si>
    <t>smit@gmail.com</t>
  </si>
  <si>
    <t>jai@gmail.com</t>
  </si>
  <si>
    <t>dhairy@gmail.com</t>
  </si>
  <si>
    <t>pavan@gmail.com</t>
  </si>
  <si>
    <t>sanjay@gmail.com</t>
  </si>
  <si>
    <t>jiya@gmail.com</t>
  </si>
  <si>
    <t>jyoti@gmail.com</t>
  </si>
  <si>
    <t>hetvi@gmail.com</t>
  </si>
  <si>
    <t>ravindra@gmail.com</t>
  </si>
  <si>
    <t>pruthvi@gmail.com</t>
  </si>
  <si>
    <t>om@gmail.com</t>
  </si>
  <si>
    <t>shivam@gmail.com</t>
  </si>
  <si>
    <t>jay@gmail.com</t>
  </si>
  <si>
    <t>neel@gmail.com</t>
  </si>
  <si>
    <t>darshil@gmail.com</t>
  </si>
  <si>
    <t>Salary</t>
  </si>
  <si>
    <t>Total</t>
  </si>
  <si>
    <t>fname</t>
  </si>
  <si>
    <t>lname</t>
  </si>
  <si>
    <t>Thakar</t>
  </si>
  <si>
    <t>Tripathi</t>
  </si>
  <si>
    <t>Gehlot</t>
  </si>
  <si>
    <t>Modi</t>
  </si>
  <si>
    <t>Shah</t>
  </si>
  <si>
    <t>Patel</t>
  </si>
  <si>
    <t>Joshi</t>
  </si>
  <si>
    <t>Jadav</t>
  </si>
  <si>
    <t>Jadeja</t>
  </si>
  <si>
    <t>Thakkar</t>
  </si>
  <si>
    <t>Soni</t>
  </si>
  <si>
    <t>Kapadiya</t>
  </si>
  <si>
    <t>Full Name</t>
  </si>
  <si>
    <t>Split First Name</t>
  </si>
  <si>
    <t>Split Last Name</t>
  </si>
  <si>
    <t>Full Name As Value</t>
  </si>
  <si>
    <t>Smit Thakar</t>
  </si>
  <si>
    <t>Jai Tripathi</t>
  </si>
  <si>
    <t>Dhairy Gehlot</t>
  </si>
  <si>
    <t>Pavan Modi</t>
  </si>
  <si>
    <t>Sanjay Shah</t>
  </si>
  <si>
    <t>Jiya Patel</t>
  </si>
  <si>
    <t>Jyoti Patel</t>
  </si>
  <si>
    <t>Hetvi Joshi</t>
  </si>
  <si>
    <t>Ravindra Jadav</t>
  </si>
  <si>
    <t>Pruthvi Jadeja</t>
  </si>
  <si>
    <t>Om Thakkar</t>
  </si>
  <si>
    <t>Shivam Soni</t>
  </si>
  <si>
    <t>Jay Kapadiya</t>
  </si>
  <si>
    <t>Neel Joshi</t>
  </si>
  <si>
    <t>Darshil Patel</t>
  </si>
  <si>
    <t>Mobile No.</t>
  </si>
  <si>
    <t>Domain</t>
  </si>
  <si>
    <t>Top Level Domain</t>
  </si>
  <si>
    <t>smit</t>
  </si>
  <si>
    <t>jai</t>
  </si>
  <si>
    <t>dhairy</t>
  </si>
  <si>
    <t>pavan</t>
  </si>
  <si>
    <t>sanjay</t>
  </si>
  <si>
    <t>jiya</t>
  </si>
  <si>
    <t>jyoti</t>
  </si>
  <si>
    <t>hetvi</t>
  </si>
  <si>
    <t>ravindra</t>
  </si>
  <si>
    <t>pruthvi</t>
  </si>
  <si>
    <t>om</t>
  </si>
  <si>
    <t>shivam</t>
  </si>
  <si>
    <t>jay</t>
  </si>
  <si>
    <t>neel</t>
  </si>
  <si>
    <t>darshil</t>
  </si>
  <si>
    <t>UserName</t>
  </si>
  <si>
    <t>Email Id</t>
  </si>
  <si>
    <t>gmail</t>
  </si>
  <si>
    <t>com</t>
  </si>
  <si>
    <t>24/01/2026</t>
  </si>
  <si>
    <t>Task</t>
  </si>
  <si>
    <t>Employee ID</t>
  </si>
  <si>
    <t>Department</t>
  </si>
  <si>
    <t>Joining Date</t>
  </si>
  <si>
    <t>E101</t>
  </si>
  <si>
    <t>Amit Sharma</t>
  </si>
  <si>
    <t>HR</t>
  </si>
  <si>
    <t>E102</t>
  </si>
  <si>
    <t>Neha Verma</t>
  </si>
  <si>
    <t>IT</t>
  </si>
  <si>
    <t>E103</t>
  </si>
  <si>
    <t>Rahul Mehta</t>
  </si>
  <si>
    <t>Finance</t>
  </si>
  <si>
    <t>E104</t>
  </si>
  <si>
    <t>Pooja Singh</t>
  </si>
  <si>
    <t>E105</t>
  </si>
  <si>
    <t>Ankit Patel</t>
  </si>
  <si>
    <t>Sales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</si>
  <si>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</si>
  <si>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</si>
  <si>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</si>
  <si>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</si>
  <si>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</si>
  <si>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</si>
  <si>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</si>
  <si>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</si>
  <si>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</si>
  <si>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</si>
  <si>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Darshan Sarvaiya</t>
  </si>
  <si>
    <t>Vaidik Limbachiya</t>
  </si>
  <si>
    <t xml:space="preserve">Dhairy gehlot </t>
  </si>
  <si>
    <t>E116</t>
  </si>
  <si>
    <t>E117</t>
  </si>
  <si>
    <t>E118</t>
  </si>
  <si>
    <t>E119</t>
  </si>
  <si>
    <t>E120</t>
  </si>
  <si>
    <t>Shivam Thakar</t>
  </si>
  <si>
    <t>Vishv Patel</t>
  </si>
  <si>
    <t xml:space="preserve">Nirmal Lohar </t>
  </si>
  <si>
    <t xml:space="preserve">Aashita Prajapati </t>
  </si>
  <si>
    <t xml:space="preserve">Bhavy Maniyar </t>
  </si>
  <si>
    <t>Drasti Pithva</t>
  </si>
  <si>
    <t>Yashvi Joshi</t>
  </si>
  <si>
    <t>Keyuri Patel</t>
  </si>
  <si>
    <t>Isha Makvana</t>
  </si>
  <si>
    <t>Format header row (Bold, Color)
Salary → Currency (₹)
Date → Date format
Apply borders and auto-fit columns</t>
  </si>
  <si>
    <t>Product Name</t>
  </si>
  <si>
    <t>Region</t>
  </si>
  <si>
    <t>Sales Amount</t>
  </si>
  <si>
    <t>Salesperson</t>
  </si>
  <si>
    <t>Laptop Dell Inspiron 15</t>
  </si>
  <si>
    <t>North</t>
  </si>
  <si>
    <t>Ramesh</t>
  </si>
  <si>
    <t>HP Wireless Mouse</t>
  </si>
  <si>
    <t>West</t>
  </si>
  <si>
    <t>Sneha</t>
  </si>
  <si>
    <t>Samsung 24-inch Monitor</t>
  </si>
  <si>
    <t>East</t>
  </si>
  <si>
    <t>Arjun</t>
  </si>
  <si>
    <t>Lenovo ThinkPad E14 Laptop</t>
  </si>
  <si>
    <t>South</t>
  </si>
  <si>
    <t>Kavita</t>
  </si>
  <si>
    <t>Add title Monthly Sales Report
Merge &amp; center title
Wrap text for product names
Currency format for sales</t>
  </si>
  <si>
    <t>Task 2</t>
  </si>
  <si>
    <t>Monthly Sales Report</t>
  </si>
  <si>
    <t>Laptop Dell Inspiron 16</t>
  </si>
  <si>
    <t>Laptop Dell Inspiron 17</t>
  </si>
  <si>
    <t>Laptop Dell Inspiron 18</t>
  </si>
  <si>
    <t>Laptop Dell Inspiron 19</t>
  </si>
  <si>
    <t xml:space="preserve">Task 3 </t>
  </si>
  <si>
    <t xml:space="preserve">Student Marks Sheet </t>
  </si>
  <si>
    <t>Roll No</t>
  </si>
  <si>
    <t>Student Name</t>
  </si>
  <si>
    <t>Maths</t>
  </si>
  <si>
    <t>Science</t>
  </si>
  <si>
    <t>English</t>
  </si>
  <si>
    <t>Percentage</t>
  </si>
  <si>
    <t>Aakash</t>
  </si>
  <si>
    <t>Bhavya</t>
  </si>
  <si>
    <t>Chirag</t>
  </si>
  <si>
    <t>Divya</t>
  </si>
  <si>
    <t>Esha</t>
  </si>
  <si>
    <t>Isha</t>
  </si>
  <si>
    <t>Darshan</t>
  </si>
  <si>
    <t>Vaidik</t>
  </si>
  <si>
    <t>Keyur</t>
  </si>
  <si>
    <t>Vishv</t>
  </si>
  <si>
    <t>Riddhi</t>
  </si>
  <si>
    <t>Yashvi</t>
  </si>
  <si>
    <t>Keyuri</t>
  </si>
  <si>
    <t>Drasti</t>
  </si>
  <si>
    <t>Meet</t>
  </si>
  <si>
    <t>Sumit</t>
  </si>
  <si>
    <t>Calculate Percentage
Format percentage column
Apply cell styles to headers</t>
  </si>
  <si>
    <t>Task 4</t>
  </si>
  <si>
    <t>Invoice No</t>
  </si>
  <si>
    <t>Date</t>
  </si>
  <si>
    <t>INV001</t>
  </si>
  <si>
    <t>INV002</t>
  </si>
  <si>
    <t>INV003</t>
  </si>
  <si>
    <t>INV004</t>
  </si>
  <si>
    <t>INV005</t>
  </si>
  <si>
    <t>Calculate Total Sales
Find Average Sales
Identify Highest &amp; Lowest Sale</t>
  </si>
  <si>
    <t>INV006</t>
  </si>
  <si>
    <t>INV007</t>
  </si>
  <si>
    <t>INV008</t>
  </si>
  <si>
    <t>INV009</t>
  </si>
  <si>
    <t>INV010</t>
  </si>
  <si>
    <t>INV011</t>
  </si>
  <si>
    <t>INV012</t>
  </si>
  <si>
    <t>INV013</t>
  </si>
  <si>
    <t>INV014</t>
  </si>
  <si>
    <t>INV015</t>
  </si>
  <si>
    <t>INV016</t>
  </si>
  <si>
    <t>INV017</t>
  </si>
  <si>
    <t>INV018</t>
  </si>
  <si>
    <t>INV019</t>
  </si>
  <si>
    <t>INV020</t>
  </si>
  <si>
    <t>TOTAL</t>
  </si>
  <si>
    <t>AVG SALES</t>
  </si>
  <si>
    <t>Highest</t>
  </si>
  <si>
    <t>Lowest</t>
  </si>
  <si>
    <t>Employee Name</t>
  </si>
  <si>
    <t>Suresh</t>
  </si>
  <si>
    <t>Meena</t>
  </si>
  <si>
    <t>Karan</t>
  </si>
  <si>
    <t>Ritu</t>
  </si>
  <si>
    <t>Aman</t>
  </si>
  <si>
    <t>Total salary per department
Average salary
Count employees</t>
  </si>
  <si>
    <t xml:space="preserve">Average Salary </t>
  </si>
  <si>
    <t>Count Employess</t>
  </si>
  <si>
    <t>Day 1</t>
  </si>
  <si>
    <t>Day 2</t>
  </si>
  <si>
    <t>Day 3</t>
  </si>
  <si>
    <t>Day 4</t>
  </si>
  <si>
    <t>Day 5</t>
  </si>
  <si>
    <t>P</t>
  </si>
  <si>
    <t>A</t>
  </si>
  <si>
    <t>Count Present days
Count Absent days</t>
  </si>
  <si>
    <t>Count Present days</t>
  </si>
  <si>
    <t>Count Absent Days</t>
  </si>
  <si>
    <t>Order ID</t>
  </si>
  <si>
    <t>O101</t>
  </si>
  <si>
    <t>O102</t>
  </si>
  <si>
    <t>O103</t>
  </si>
  <si>
    <t>O104</t>
  </si>
  <si>
    <t>O105</t>
  </si>
  <si>
    <t>O106</t>
  </si>
  <si>
    <t>Present</t>
  </si>
  <si>
    <t>Absent</t>
  </si>
  <si>
    <t>Count sales above 10000
Count sales below 5000</t>
  </si>
  <si>
    <t>O107</t>
  </si>
  <si>
    <t>O108</t>
  </si>
  <si>
    <t>O109</t>
  </si>
  <si>
    <t>O110</t>
  </si>
  <si>
    <t>O111</t>
  </si>
  <si>
    <t>O112</t>
  </si>
  <si>
    <t>O113</t>
  </si>
  <si>
    <t>O114</t>
  </si>
  <si>
    <t>O115</t>
  </si>
  <si>
    <t>O116</t>
  </si>
  <si>
    <t>O117</t>
  </si>
  <si>
    <t>O118</t>
  </si>
  <si>
    <t>O119</t>
  </si>
  <si>
    <t>O120</t>
  </si>
  <si>
    <t>O121</t>
  </si>
  <si>
    <t>O122</t>
  </si>
  <si>
    <t>O123</t>
  </si>
  <si>
    <t>Count Sales Below 5000</t>
  </si>
  <si>
    <t>Count Sales Above 10000</t>
  </si>
  <si>
    <t>Product</t>
  </si>
  <si>
    <t>Mobile</t>
  </si>
  <si>
    <t>Headphones</t>
  </si>
  <si>
    <t>Laptop</t>
  </si>
  <si>
    <t>Keyboard</t>
  </si>
  <si>
    <t>Tablet</t>
  </si>
  <si>
    <t>Highlight sales &gt; 20000 (Green)
Highlight sales &lt; 5000 (Red)</t>
  </si>
  <si>
    <t>Marks</t>
  </si>
  <si>
    <t>Bharti</t>
  </si>
  <si>
    <t>Chetan</t>
  </si>
  <si>
    <t>Deepa</t>
  </si>
  <si>
    <t>Farhan</t>
  </si>
  <si>
    <t>Marks ≥ 75 → Green
Marks &lt; 40 → Red</t>
  </si>
  <si>
    <t>Rohit</t>
  </si>
  <si>
    <t>Simran</t>
  </si>
  <si>
    <t>Vijay</t>
  </si>
  <si>
    <t>Nisha</t>
  </si>
  <si>
    <t>Mohan</t>
  </si>
  <si>
    <t>≥ 50000 → Dark Green
30000–49999 → Yellow
&lt; 30000 → Light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</si>
</sst>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₹-4009]\ #,##0.0"/>
    <numFmt numFmtId="165" formatCode="[$₹-4009]\ #,##0.00"/>
    <numFmt numFmtId="166" formatCode="mm/dd/yyyy"/>
  </numFmts>
  <fonts count="3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8" tint="-0.499984740745262"/>
      <name val="Poppins"/>
    </font>
    <font>
      <sz val="11"/>
      <color theme="1"/>
      <name val="Calibri"/>
      <family val="2"/>
      <scheme val="minor"/>
    </font>
    <font>
      <sz val="11"/>
      <color theme="1"/>
      <name val="Poppins"/>
    </font>
    <font>
      <b/>
      <sz val="14"/>
      <color rgb="FFFF0000"/>
      <name val="Calibri"/>
      <family val="2"/>
      <scheme val="minor"/>
    </font>
    <font>
      <b/>
      <sz val="11"/>
      <color theme="1"/>
      <name val="Poppins"/>
    </font>
    <font>
      <sz val="14"/>
      <color theme="4" tint="-0.249977111117893"/>
      <name val="Poppins"/>
    </font>
    <font>
      <b/>
      <sz val="16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2"/>
      <color rgb="FFF0F6FC"/>
      <name val="Segoe UI"/>
      <family val="2"/>
    </font>
    <font>
      <sz val="12"/>
      <color theme="0"/>
      <name val="Segoe UI"/>
      <family val="2"/>
    </font>
    <font>
      <sz val="14"/>
      <color theme="0"/>
      <name val="Segoe UI"/>
      <family val="2"/>
    </font>
    <font>
      <b/>
      <sz val="14"/>
      <color theme="0"/>
      <name val="Segoe UI"/>
      <family val="2"/>
    </font>
    <font>
      <sz val="8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0"/>
      <name val="Segoe UI"/>
      <family val="2"/>
    </font>
    <font>
      <b/>
      <sz val="14"/>
      <color theme="0"/>
      <name val="Calibri"/>
      <family val="2"/>
      <scheme val="minor"/>
    </font>
    <font>
      <sz val="12"/>
      <color theme="1" tint="4.9989318521683403E-2"/>
      <name val="Segoe UI"/>
      <family val="2"/>
    </font>
    <font>
      <sz val="12"/>
      <color theme="1" tint="4.9989318521683403E-2"/>
      <name val="Segoe UI"/>
      <family val="2"/>
    </font>
    <font>
      <b/>
      <sz val="12"/>
      <color theme="1" tint="4.9989318521683403E-2"/>
      <name val="Segoe UI"/>
      <family val="2"/>
    </font>
    <font>
      <b/>
      <sz val="16"/>
      <color theme="0"/>
      <name val="Segoe U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rgb="FFF0F6FC"/>
      <name val="Segoe UI"/>
      <family val="2"/>
    </font>
    <font>
      <sz val="14"/>
      <color rgb="FFF0F6FC"/>
      <name val="Segoe UI"/>
      <family val="2"/>
    </font>
    <font>
      <sz val="16"/>
      <color rgb="FFF0F6FC"/>
      <name val="Segoe UI"/>
      <family val="2"/>
    </font>
    <font>
      <sz val="16"/>
      <color rgb="FFF0F6FC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7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3D444D"/>
      </left>
      <right style="medium">
        <color rgb="FF3D444D"/>
      </right>
      <top style="medium">
        <color rgb="FF3D444D"/>
      </top>
      <bottom style="medium">
        <color rgb="FF3D444D"/>
      </bottom>
      <diagonal/>
    </border>
    <border>
      <left/>
      <right style="medium">
        <color rgb="FF3D444D"/>
      </right>
      <top style="medium">
        <color rgb="FF3D444D"/>
      </top>
      <bottom style="medium">
        <color rgb="FF3D444D"/>
      </bottom>
      <diagonal/>
    </border>
    <border>
      <left style="medium">
        <color rgb="FF3D444D"/>
      </left>
      <right/>
      <top style="medium">
        <color rgb="FF3D444D"/>
      </top>
      <bottom style="medium">
        <color rgb="FF3D444D"/>
      </bottom>
      <diagonal/>
    </border>
    <border>
      <left/>
      <right style="medium">
        <color rgb="FF3D444D"/>
      </right>
      <top/>
      <bottom style="medium">
        <color rgb="FF3D444D"/>
      </bottom>
      <diagonal/>
    </border>
    <border>
      <left style="medium">
        <color rgb="FF3D444D"/>
      </left>
      <right style="medium">
        <color rgb="FF3D444D"/>
      </right>
      <top/>
      <bottom style="medium">
        <color rgb="FF3D444D"/>
      </bottom>
      <diagonal/>
    </border>
    <border>
      <left style="medium">
        <color rgb="FF3D444D"/>
      </left>
      <right/>
      <top/>
      <bottom style="medium">
        <color rgb="FF3D444D"/>
      </bottom>
      <diagonal/>
    </border>
    <border>
      <left/>
      <right style="medium">
        <color rgb="FF3D444D"/>
      </right>
      <top style="medium">
        <color rgb="FF3D444D"/>
      </top>
      <bottom/>
      <diagonal/>
    </border>
    <border>
      <left style="medium">
        <color rgb="FF3D444D"/>
      </left>
      <right style="medium">
        <color rgb="FF3D444D"/>
      </right>
      <top style="medium">
        <color rgb="FF3D444D"/>
      </top>
      <bottom/>
      <diagonal/>
    </border>
    <border>
      <left style="medium">
        <color rgb="FF3D444D"/>
      </left>
      <right/>
      <top style="medium">
        <color rgb="FF3D444D"/>
      </top>
      <bottom/>
      <diagonal/>
    </border>
    <border>
      <left style="medium">
        <color rgb="FF3D444D"/>
      </left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9" fontId="3" fillId="0" borderId="0" applyFont="0" applyFill="0" applyBorder="0" applyAlignment="0" applyProtection="0"/>
  </cellStyleXfs>
  <cellXfs count="11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165" fontId="4" fillId="4" borderId="1" xfId="0" applyNumberFormat="1" applyFont="1" applyFill="1" applyBorder="1" applyAlignment="1">
      <alignment horizontal="center" vertical="center"/>
    </xf>
    <xf numFmtId="0" fontId="4" fillId="6" borderId="1" xfId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165" fontId="5" fillId="3" borderId="1" xfId="0" applyNumberFormat="1" applyFont="1" applyFill="1" applyBorder="1" applyAlignment="1">
      <alignment horizontal="center"/>
    </xf>
    <xf numFmtId="164" fontId="5" fillId="3" borderId="1" xfId="0" applyNumberFormat="1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3" fillId="4" borderId="1" xfId="1" applyFont="1" applyFill="1" applyBorder="1" applyAlignment="1">
      <alignment horizontal="center" vertical="center"/>
    </xf>
    <xf numFmtId="0" fontId="13" fillId="8" borderId="4" xfId="0" applyFont="1" applyFill="1" applyBorder="1" applyAlignment="1">
      <alignment horizontal="center" wrapText="1"/>
    </xf>
    <xf numFmtId="0" fontId="13" fillId="8" borderId="3" xfId="0" applyFont="1" applyFill="1" applyBorder="1" applyAlignment="1">
      <alignment horizontal="center" wrapText="1"/>
    </xf>
    <xf numFmtId="0" fontId="13" fillId="8" borderId="9" xfId="0" applyFont="1" applyFill="1" applyBorder="1" applyAlignment="1">
      <alignment horizontal="center" wrapText="1"/>
    </xf>
    <xf numFmtId="0" fontId="13" fillId="8" borderId="10" xfId="0" applyFont="1" applyFill="1" applyBorder="1" applyAlignment="1">
      <alignment horizontal="center" wrapText="1"/>
    </xf>
    <xf numFmtId="0" fontId="14" fillId="8" borderId="6" xfId="0" applyFont="1" applyFill="1" applyBorder="1" applyAlignment="1">
      <alignment horizontal="center" wrapText="1"/>
    </xf>
    <xf numFmtId="0" fontId="14" fillId="8" borderId="7" xfId="0" applyFont="1" applyFill="1" applyBorder="1" applyAlignment="1">
      <alignment horizontal="center" wrapText="1"/>
    </xf>
    <xf numFmtId="165" fontId="13" fillId="8" borderId="5" xfId="0" applyNumberFormat="1" applyFont="1" applyFill="1" applyBorder="1" applyAlignment="1">
      <alignment horizontal="center" wrapText="1"/>
    </xf>
    <xf numFmtId="165" fontId="13" fillId="8" borderId="11" xfId="0" applyNumberFormat="1" applyFont="1" applyFill="1" applyBorder="1" applyAlignment="1">
      <alignment horizontal="center" wrapText="1"/>
    </xf>
    <xf numFmtId="14" fontId="12" fillId="8" borderId="3" xfId="0" applyNumberFormat="1" applyFont="1" applyFill="1" applyBorder="1" applyAlignment="1">
      <alignment horizontal="center" vertical="center" wrapText="1"/>
    </xf>
    <xf numFmtId="14" fontId="12" fillId="8" borderId="1" xfId="0" applyNumberFormat="1" applyFont="1" applyFill="1" applyBorder="1" applyAlignment="1">
      <alignment horizontal="center" vertical="center" wrapText="1"/>
    </xf>
    <xf numFmtId="14" fontId="11" fillId="8" borderId="1" xfId="0" applyNumberFormat="1" applyFont="1" applyFill="1" applyBorder="1" applyAlignment="1">
      <alignment horizontal="center"/>
    </xf>
    <xf numFmtId="166" fontId="14" fillId="8" borderId="12" xfId="0" applyNumberFormat="1" applyFont="1" applyFill="1" applyBorder="1" applyAlignment="1">
      <alignment horizontal="center" wrapText="1"/>
    </xf>
    <xf numFmtId="0" fontId="12" fillId="8" borderId="4" xfId="0" applyFont="1" applyFill="1" applyBorder="1" applyAlignment="1">
      <alignment horizontal="left" vertical="center" wrapText="1" indent="1"/>
    </xf>
    <xf numFmtId="0" fontId="12" fillId="8" borderId="9" xfId="0" applyFont="1" applyFill="1" applyBorder="1" applyAlignment="1">
      <alignment horizontal="left" vertical="center" wrapText="1" indent="1"/>
    </xf>
    <xf numFmtId="0" fontId="9" fillId="0" borderId="0" xfId="0" applyFont="1"/>
    <xf numFmtId="0" fontId="18" fillId="8" borderId="6" xfId="0" applyFont="1" applyFill="1" applyBorder="1" applyAlignment="1">
      <alignment horizontal="center" vertical="center" wrapText="1"/>
    </xf>
    <xf numFmtId="0" fontId="18" fillId="8" borderId="7" xfId="0" applyFont="1" applyFill="1" applyBorder="1" applyAlignment="1">
      <alignment horizontal="center" vertical="center" wrapText="1"/>
    </xf>
    <xf numFmtId="165" fontId="18" fillId="8" borderId="7" xfId="0" applyNumberFormat="1" applyFont="1" applyFill="1" applyBorder="1" applyAlignment="1">
      <alignment horizontal="center" vertical="center" wrapText="1"/>
    </xf>
    <xf numFmtId="0" fontId="18" fillId="8" borderId="8" xfId="0" applyFont="1" applyFill="1" applyBorder="1" applyAlignment="1">
      <alignment horizontal="center" vertical="center" wrapText="1"/>
    </xf>
    <xf numFmtId="0" fontId="12" fillId="8" borderId="4" xfId="0" applyFont="1" applyFill="1" applyBorder="1" applyAlignment="1">
      <alignment horizontal="center" vertical="center"/>
    </xf>
    <xf numFmtId="0" fontId="12" fillId="8" borderId="3" xfId="0" applyFont="1" applyFill="1" applyBorder="1" applyAlignment="1">
      <alignment horizontal="center" vertical="center" wrapText="1"/>
    </xf>
    <xf numFmtId="165" fontId="12" fillId="8" borderId="3" xfId="0" applyNumberFormat="1" applyFont="1" applyFill="1" applyBorder="1" applyAlignment="1">
      <alignment horizontal="center" vertical="center" wrapText="1"/>
    </xf>
    <xf numFmtId="0" fontId="12" fillId="8" borderId="5" xfId="0" applyFont="1" applyFill="1" applyBorder="1" applyAlignment="1">
      <alignment horizontal="center" vertical="center" wrapText="1"/>
    </xf>
    <xf numFmtId="0" fontId="12" fillId="8" borderId="9" xfId="0" applyFont="1" applyFill="1" applyBorder="1" applyAlignment="1">
      <alignment horizontal="center" vertical="center"/>
    </xf>
    <xf numFmtId="0" fontId="12" fillId="8" borderId="10" xfId="0" applyFont="1" applyFill="1" applyBorder="1" applyAlignment="1">
      <alignment horizontal="center" vertical="center" wrapText="1"/>
    </xf>
    <xf numFmtId="165" fontId="12" fillId="8" borderId="10" xfId="0" applyNumberFormat="1" applyFont="1" applyFill="1" applyBorder="1" applyAlignment="1">
      <alignment horizontal="center" vertical="center" wrapText="1"/>
    </xf>
    <xf numFmtId="0" fontId="12" fillId="8" borderId="11" xfId="0" applyFont="1" applyFill="1" applyBorder="1" applyAlignment="1">
      <alignment horizontal="center" vertical="center" wrapText="1"/>
    </xf>
    <xf numFmtId="0" fontId="20" fillId="10" borderId="6" xfId="0" applyFont="1" applyFill="1" applyBorder="1" applyAlignment="1">
      <alignment horizontal="center" vertical="center" wrapText="1"/>
    </xf>
    <xf numFmtId="0" fontId="20" fillId="10" borderId="7" xfId="0" applyFont="1" applyFill="1" applyBorder="1" applyAlignment="1">
      <alignment horizontal="center" vertical="center" wrapText="1"/>
    </xf>
    <xf numFmtId="0" fontId="20" fillId="10" borderId="8" xfId="0" applyFont="1" applyFill="1" applyBorder="1" applyAlignment="1">
      <alignment horizontal="center" vertical="center" wrapText="1"/>
    </xf>
    <xf numFmtId="0" fontId="22" fillId="10" borderId="8" xfId="0" applyFont="1" applyFill="1" applyBorder="1" applyAlignment="1">
      <alignment horizontal="center" vertical="center" wrapText="1"/>
    </xf>
    <xf numFmtId="0" fontId="21" fillId="10" borderId="4" xfId="0" applyFont="1" applyFill="1" applyBorder="1" applyAlignment="1">
      <alignment horizontal="center" vertical="center" wrapText="1"/>
    </xf>
    <xf numFmtId="0" fontId="21" fillId="10" borderId="3" xfId="0" applyFont="1" applyFill="1" applyBorder="1" applyAlignment="1">
      <alignment horizontal="center" vertical="center" wrapText="1"/>
    </xf>
    <xf numFmtId="0" fontId="21" fillId="10" borderId="5" xfId="0" applyFont="1" applyFill="1" applyBorder="1" applyAlignment="1">
      <alignment horizontal="center" vertical="center" wrapText="1"/>
    </xf>
    <xf numFmtId="0" fontId="21" fillId="10" borderId="9" xfId="0" applyFont="1" applyFill="1" applyBorder="1" applyAlignment="1">
      <alignment horizontal="center" vertical="center" wrapText="1"/>
    </xf>
    <xf numFmtId="0" fontId="21" fillId="10" borderId="10" xfId="0" applyFont="1" applyFill="1" applyBorder="1" applyAlignment="1">
      <alignment horizontal="center" vertical="center" wrapText="1"/>
    </xf>
    <xf numFmtId="0" fontId="21" fillId="10" borderId="11" xfId="0" applyFont="1" applyFill="1" applyBorder="1" applyAlignment="1">
      <alignment horizontal="center" vertical="center" wrapText="1"/>
    </xf>
    <xf numFmtId="0" fontId="21" fillId="10" borderId="5" xfId="0" applyNumberFormat="1" applyFont="1" applyFill="1" applyBorder="1" applyAlignment="1">
      <alignment horizontal="center" vertical="center" wrapText="1"/>
    </xf>
    <xf numFmtId="10" fontId="21" fillId="10" borderId="5" xfId="2" applyNumberFormat="1" applyFont="1" applyFill="1" applyBorder="1" applyAlignment="1">
      <alignment horizontal="center" vertical="center" wrapText="1"/>
    </xf>
    <xf numFmtId="10" fontId="21" fillId="10" borderId="11" xfId="2" applyNumberFormat="1" applyFont="1" applyFill="1" applyBorder="1" applyAlignment="1">
      <alignment horizontal="center" vertical="center" wrapText="1"/>
    </xf>
    <xf numFmtId="0" fontId="23" fillId="8" borderId="6" xfId="0" applyFont="1" applyFill="1" applyBorder="1" applyAlignment="1">
      <alignment horizontal="center" vertical="center" wrapText="1"/>
    </xf>
    <xf numFmtId="0" fontId="23" fillId="8" borderId="7" xfId="0" applyFont="1" applyFill="1" applyBorder="1" applyAlignment="1">
      <alignment horizontal="center" vertical="center" wrapText="1"/>
    </xf>
    <xf numFmtId="0" fontId="23" fillId="8" borderId="8" xfId="0" applyFont="1" applyFill="1" applyBorder="1" applyAlignment="1">
      <alignment horizontal="center" vertical="center" wrapText="1"/>
    </xf>
    <xf numFmtId="165" fontId="12" fillId="8" borderId="5" xfId="0" applyNumberFormat="1" applyFont="1" applyFill="1" applyBorder="1" applyAlignment="1">
      <alignment horizontal="left" vertical="center" wrapText="1" indent="1"/>
    </xf>
    <xf numFmtId="165" fontId="12" fillId="8" borderId="11" xfId="0" applyNumberFormat="1" applyFont="1" applyFill="1" applyBorder="1" applyAlignment="1">
      <alignment horizontal="left" vertical="center" wrapText="1" indent="1"/>
    </xf>
    <xf numFmtId="0" fontId="24" fillId="3" borderId="1" xfId="0" applyFont="1" applyFill="1" applyBorder="1" applyAlignment="1">
      <alignment horizontal="center"/>
    </xf>
    <xf numFmtId="165" fontId="24" fillId="3" borderId="1" xfId="0" applyNumberFormat="1" applyFont="1" applyFill="1" applyBorder="1" applyAlignment="1">
      <alignment horizontal="center"/>
    </xf>
    <xf numFmtId="0" fontId="24" fillId="3" borderId="0" xfId="0" applyFont="1" applyFill="1" applyAlignment="1">
      <alignment horizontal="center"/>
    </xf>
    <xf numFmtId="165" fontId="24" fillId="3" borderId="0" xfId="0" applyNumberFormat="1" applyFont="1" applyFill="1" applyAlignment="1">
      <alignment horizontal="center"/>
    </xf>
    <xf numFmtId="0" fontId="26" fillId="0" borderId="0" xfId="0" applyFont="1"/>
    <xf numFmtId="0" fontId="26" fillId="3" borderId="1" xfId="0" applyFont="1" applyFill="1" applyBorder="1"/>
    <xf numFmtId="0" fontId="24" fillId="3" borderId="1" xfId="0" applyFont="1" applyFill="1" applyBorder="1"/>
    <xf numFmtId="0" fontId="27" fillId="8" borderId="6" xfId="0" applyFont="1" applyFill="1" applyBorder="1" applyAlignment="1">
      <alignment horizontal="center" vertical="center" wrapText="1"/>
    </xf>
    <xf numFmtId="0" fontId="27" fillId="8" borderId="7" xfId="0" applyFont="1" applyFill="1" applyBorder="1" applyAlignment="1">
      <alignment horizontal="center" vertical="center" wrapText="1"/>
    </xf>
    <xf numFmtId="0" fontId="27" fillId="8" borderId="8" xfId="0" applyFont="1" applyFill="1" applyBorder="1" applyAlignment="1">
      <alignment horizontal="center" vertical="center" wrapText="1"/>
    </xf>
    <xf numFmtId="0" fontId="11" fillId="8" borderId="4" xfId="0" applyFont="1" applyFill="1" applyBorder="1" applyAlignment="1">
      <alignment horizontal="left" vertical="center" wrapText="1" indent="1"/>
    </xf>
    <xf numFmtId="0" fontId="11" fillId="8" borderId="3" xfId="0" applyFont="1" applyFill="1" applyBorder="1" applyAlignment="1">
      <alignment horizontal="left" vertical="center" wrapText="1" indent="1"/>
    </xf>
    <xf numFmtId="0" fontId="11" fillId="8" borderId="9" xfId="0" applyFont="1" applyFill="1" applyBorder="1" applyAlignment="1">
      <alignment horizontal="left" vertical="center" wrapText="1" indent="1"/>
    </xf>
    <xf numFmtId="0" fontId="11" fillId="8" borderId="10" xfId="0" applyFont="1" applyFill="1" applyBorder="1" applyAlignment="1">
      <alignment horizontal="left" vertical="center" wrapText="1" indent="1"/>
    </xf>
    <xf numFmtId="0" fontId="28" fillId="8" borderId="6" xfId="0" applyFont="1" applyFill="1" applyBorder="1" applyAlignment="1">
      <alignment horizontal="center" vertical="center" wrapText="1"/>
    </xf>
    <xf numFmtId="0" fontId="28" fillId="8" borderId="7" xfId="0" applyFont="1" applyFill="1" applyBorder="1" applyAlignment="1">
      <alignment horizontal="center" vertical="center" wrapText="1"/>
    </xf>
    <xf numFmtId="0" fontId="28" fillId="8" borderId="8" xfId="0" applyFont="1" applyFill="1" applyBorder="1" applyAlignment="1">
      <alignment horizontal="center" vertical="center" wrapText="1"/>
    </xf>
    <xf numFmtId="0" fontId="29" fillId="8" borderId="6" xfId="0" applyFont="1" applyFill="1" applyBorder="1" applyAlignment="1">
      <alignment horizontal="center" vertical="center" wrapText="1"/>
    </xf>
    <xf numFmtId="0" fontId="29" fillId="8" borderId="8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11" fillId="8" borderId="5" xfId="0" applyNumberFormat="1" applyFont="1" applyFill="1" applyBorder="1" applyAlignment="1">
      <alignment horizontal="left" vertical="center" wrapText="1" indent="1"/>
    </xf>
    <xf numFmtId="164" fontId="11" fillId="8" borderId="11" xfId="0" applyNumberFormat="1" applyFont="1" applyFill="1" applyBorder="1" applyAlignment="1">
      <alignment horizontal="left" vertical="center" wrapText="1" indent="1"/>
    </xf>
    <xf numFmtId="165" fontId="26" fillId="3" borderId="1" xfId="0" applyNumberFormat="1" applyFont="1" applyFill="1" applyBorder="1"/>
    <xf numFmtId="0" fontId="11" fillId="8" borderId="4" xfId="0" applyFont="1" applyFill="1" applyBorder="1" applyAlignment="1">
      <alignment horizontal="center" vertical="center" wrapText="1"/>
    </xf>
    <xf numFmtId="0" fontId="11" fillId="8" borderId="3" xfId="0" applyFont="1" applyFill="1" applyBorder="1" applyAlignment="1">
      <alignment horizontal="center" vertical="center" wrapText="1"/>
    </xf>
    <xf numFmtId="0" fontId="11" fillId="8" borderId="5" xfId="0" applyFont="1" applyFill="1" applyBorder="1" applyAlignment="1">
      <alignment horizontal="center" vertical="center" wrapText="1"/>
    </xf>
    <xf numFmtId="0" fontId="11" fillId="8" borderId="9" xfId="0" applyFont="1" applyFill="1" applyBorder="1" applyAlignment="1">
      <alignment horizontal="center" vertical="center" wrapText="1"/>
    </xf>
    <xf numFmtId="0" fontId="11" fillId="8" borderId="10" xfId="0" applyFont="1" applyFill="1" applyBorder="1" applyAlignment="1">
      <alignment horizontal="center" vertical="center" wrapText="1"/>
    </xf>
    <xf numFmtId="0" fontId="11" fillId="8" borderId="11" xfId="0" applyFont="1" applyFill="1" applyBorder="1" applyAlignment="1">
      <alignment horizontal="center" vertical="center" wrapText="1"/>
    </xf>
    <xf numFmtId="0" fontId="11" fillId="8" borderId="7" xfId="0" applyFont="1" applyFill="1" applyBorder="1" applyAlignment="1">
      <alignment horizontal="center" vertical="center" wrapText="1"/>
    </xf>
    <xf numFmtId="0" fontId="30" fillId="8" borderId="4" xfId="0" applyFont="1" applyFill="1" applyBorder="1" applyAlignment="1">
      <alignment horizontal="center" vertical="center" wrapText="1"/>
    </xf>
    <xf numFmtId="0" fontId="30" fillId="8" borderId="5" xfId="0" applyFont="1" applyFill="1" applyBorder="1" applyAlignment="1">
      <alignment horizontal="center" vertical="center" wrapText="1"/>
    </xf>
    <xf numFmtId="0" fontId="30" fillId="8" borderId="9" xfId="0" applyFont="1" applyFill="1" applyBorder="1" applyAlignment="1">
      <alignment horizontal="center" vertical="center" wrapText="1"/>
    </xf>
    <xf numFmtId="0" fontId="30" fillId="8" borderId="1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14" fontId="10" fillId="8" borderId="0" xfId="0" applyNumberFormat="1" applyFont="1" applyFill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7" fillId="9" borderId="0" xfId="0" applyFont="1" applyFill="1" applyAlignment="1">
      <alignment horizontal="center"/>
    </xf>
    <xf numFmtId="0" fontId="16" fillId="8" borderId="0" xfId="0" applyFont="1" applyFill="1" applyAlignment="1">
      <alignment horizontal="center"/>
    </xf>
    <xf numFmtId="0" fontId="19" fillId="9" borderId="0" xfId="0" applyFont="1" applyFill="1" applyAlignment="1">
      <alignment horizontal="center"/>
    </xf>
    <xf numFmtId="0" fontId="10" fillId="9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/>
    </xf>
    <xf numFmtId="0" fontId="25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24" fillId="3" borderId="0" xfId="0" applyFont="1" applyFill="1" applyAlignment="1">
      <alignment horizontal="center" vertical="center"/>
    </xf>
  </cellXfs>
  <cellStyles count="3">
    <cellStyle name="Hyperlink" xfId="1" builtinId="8"/>
    <cellStyle name="Normal" xfId="0" builtinId="0"/>
    <cellStyle name="Percent" xfId="2" builtinId="5"/>
  </cellStyles>
  <dxfs count="9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border outline="0">
        <top style="medium">
          <color rgb="FF3D444D"/>
        </top>
      </border>
    </dxf>
    <dxf>
      <border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</dxf>
    <dxf>
      <border outline="0"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border outline="0">
        <top style="medium">
          <color rgb="FF3D444D"/>
        </top>
      </border>
    </dxf>
    <dxf>
      <border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</dxf>
    <dxf>
      <border outline="0"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border outline="0">
        <top style="medium">
          <color rgb="FF3D444D"/>
        </top>
      </border>
    </dxf>
    <dxf>
      <border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</dxf>
    <dxf>
      <border outline="0"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F0F6FC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F0F6FC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border outline="0">
        <top style="medium">
          <color rgb="FF3D444D"/>
        </top>
      </border>
    </dxf>
    <dxf>
      <border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ont>
        <strike val="0"/>
        <outline val="0"/>
        <shadow val="0"/>
        <u val="none"/>
        <vertAlign val="baseline"/>
        <sz val="16"/>
        <color rgb="FFF0F6FC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</dxf>
    <dxf>
      <border outline="0"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F0F6FC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numFmt numFmtId="0" formatCode="General"/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numFmt numFmtId="0" formatCode="General"/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border outline="0">
        <top style="medium">
          <color rgb="FF3D444D"/>
        </top>
      </border>
    </dxf>
    <dxf>
      <border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</dxf>
    <dxf>
      <border outline="0"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numFmt numFmtId="164" formatCode="[$₹-4009]\ #,##0.0"/>
      <fill>
        <patternFill patternType="solid">
          <fgColor indexed="64"/>
          <bgColor theme="8" tint="-0.249977111117893"/>
        </patternFill>
      </fill>
      <alignment horizontal="left" vertical="center" textRotation="0" wrapText="1" indent="1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left" vertical="center" textRotation="0" wrapText="1" indent="1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left" vertical="center" textRotation="0" wrapText="1" indent="1" justifyLastLine="0" shrinkToFit="0" readingOrder="0"/>
      <border diagonalUp="0" diagonalDown="0" outline="0">
        <left/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border outline="0">
        <top style="medium">
          <color rgb="FF3D444D"/>
        </top>
      </border>
    </dxf>
    <dxf>
      <border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ill>
        <patternFill patternType="solid">
          <fgColor indexed="64"/>
          <bgColor theme="8" tint="-0.249977111117893"/>
        </patternFill>
      </fill>
    </dxf>
    <dxf>
      <border outline="0"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0F6FC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Segoe UI"/>
        <family val="2"/>
        <scheme val="none"/>
      </font>
      <numFmt numFmtId="165" formatCode="[$₹-4009]\ #,##0.00"/>
      <fill>
        <patternFill patternType="solid">
          <fgColor indexed="64"/>
          <bgColor theme="8" tint="-0.249977111117893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Segoe UI"/>
        <family val="2"/>
        <scheme val="none"/>
      </font>
      <numFmt numFmtId="19" formatCode="m/d/yyyy"/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left" vertical="center" textRotation="0" wrapText="1" indent="1" justifyLastLine="0" shrinkToFit="0" readingOrder="0"/>
      <border diagonalUp="0" diagonalDown="0" outline="0">
        <left/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border outline="0">
        <top style="medium">
          <color rgb="FF3D444D"/>
        </top>
      </border>
    </dxf>
    <dxf>
      <border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ont>
        <strike val="0"/>
        <outline val="0"/>
        <shadow val="0"/>
        <u val="none"/>
        <vertAlign val="baseline"/>
        <sz val="12"/>
        <color theme="0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</dxf>
    <dxf>
      <border outline="0">
        <bottom style="medium">
          <color rgb="FF3D444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Segoe UI"/>
        <family val="2"/>
        <scheme val="none"/>
      </font>
      <numFmt numFmtId="14" formatCode="0.00%"/>
      <fill>
        <patternFill patternType="solid">
          <fgColor indexed="64"/>
          <bgColor theme="7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Segoe UI"/>
        <family val="2"/>
        <scheme val="none"/>
      </font>
      <numFmt numFmtId="0" formatCode="General"/>
      <fill>
        <patternFill patternType="solid">
          <fgColor indexed="64"/>
          <bgColor theme="7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Segoe UI"/>
        <family val="2"/>
        <scheme val="none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Segoe UI"/>
        <family val="2"/>
        <scheme val="none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Segoe UI"/>
        <family val="2"/>
        <scheme val="none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Segoe UI"/>
        <family val="2"/>
        <scheme val="none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Segoe UI"/>
        <family val="2"/>
        <scheme val="none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border outline="0">
        <top style="medium">
          <color rgb="FF3D444D"/>
        </top>
      </border>
    </dxf>
    <dxf>
      <border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Segoe UI"/>
        <family val="2"/>
        <scheme val="none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1" indent="0" justifyLastLine="0" shrinkToFit="0" readingOrder="0"/>
    </dxf>
    <dxf>
      <border outline="0"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Segoe UI"/>
        <family val="2"/>
        <scheme val="none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0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indent="0" justifyLastLine="0" shrinkToFit="0" readingOrder="0"/>
      <border outline="0">
        <left style="medium">
          <color rgb="FF3D444D"/>
        </left>
      </border>
    </dxf>
    <dxf>
      <font>
        <strike val="0"/>
        <outline val="0"/>
        <shadow val="0"/>
        <u val="none"/>
        <vertAlign val="baseline"/>
        <sz val="12"/>
        <color theme="0"/>
        <name val="Segoe UI"/>
        <family val="2"/>
        <scheme val="none"/>
      </font>
      <numFmt numFmtId="165" formatCode="[$₹-4009]\ #,##0.00"/>
      <fill>
        <patternFill patternType="solid">
          <fgColor indexed="64"/>
          <bgColor theme="8" tint="-0.249977111117893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0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indent="0" justifyLastLine="0" shrinkToFit="0" readingOrder="0"/>
      <border outline="0">
        <left style="medium">
          <color rgb="FF3D444D"/>
        </left>
        <right style="medium">
          <color rgb="FF3D444D"/>
        </right>
      </border>
    </dxf>
    <dxf>
      <font>
        <strike val="0"/>
        <outline val="0"/>
        <shadow val="0"/>
        <u val="none"/>
        <vertAlign val="baseline"/>
        <sz val="12"/>
        <color theme="0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</dxf>
    <dxf>
      <border outline="0">
        <top style="medium">
          <color rgb="FF3D444D"/>
        </top>
      </border>
    </dxf>
    <dxf>
      <border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ont>
        <strike val="0"/>
        <outline val="0"/>
        <shadow val="0"/>
        <u val="none"/>
        <vertAlign val="baseline"/>
        <sz val="12"/>
        <color theme="0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indent="0" justifyLastLine="0" shrinkToFit="0" readingOrder="0"/>
    </dxf>
    <dxf>
      <border outline="0">
        <bottom style="medium">
          <color rgb="FF3D444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/>
        <bottom/>
      </border>
    </dxf>
    <dxf>
      <font>
        <strike val="0"/>
        <outline val="0"/>
        <shadow val="0"/>
        <u val="none"/>
        <vertAlign val="baseline"/>
        <sz val="14"/>
        <color theme="0"/>
        <name val="Segoe UI"/>
        <family val="2"/>
        <scheme val="none"/>
      </font>
      <numFmt numFmtId="19" formatCode="m/d/yyyy"/>
      <fill>
        <patternFill patternType="solid">
          <fgColor indexed="64"/>
          <bgColor theme="8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Segoe UI"/>
        <family val="2"/>
        <scheme val="none"/>
      </font>
      <numFmt numFmtId="165" formatCode="[$₹-4009]\ #,##0.00"/>
      <fill>
        <patternFill patternType="solid">
          <fgColor indexed="64"/>
          <bgColor theme="8" tint="-0.249977111117893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rgb="FF3D444D"/>
        </left>
        <right style="thin">
          <color indexed="64"/>
        </right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border outline="0">
        <top style="medium">
          <color rgb="FF3D444D"/>
        </top>
      </border>
    </dxf>
    <dxf>
      <border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bottom" textRotation="0" wrapText="1" indent="0" justifyLastLine="0" shrinkToFit="0" readingOrder="0"/>
    </dxf>
    <dxf>
      <border outline="0">
        <bottom style="medium">
          <color rgb="FF3D444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Segoe U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8F8CFE-A386-463A-B6B5-64545F3BD8E5}" name="Table1" displayName="Table1" ref="B4:F24" totalsRowShown="0" headerRowDxfId="95" dataDxfId="93" headerRowBorderDxfId="94" tableBorderDxfId="92" totalsRowBorderDxfId="91">
  <autoFilter ref="B4:F24" xr:uid="{A48F8CFE-A386-463A-B6B5-64545F3BD8E5}"/>
  <tableColumns count="5">
    <tableColumn id="1" xr3:uid="{DEE9CFDA-EB1B-4BC7-B118-3FDD03FE3344}" name="Employee ID" dataDxfId="90"/>
    <tableColumn id="2" xr3:uid="{7FAF82BA-1318-4192-A77F-353BC51342E6}" name="Name" dataDxfId="89"/>
    <tableColumn id="3" xr3:uid="{AD4B3451-A8F2-4FA4-BA14-410A37F18CC8}" name="Department" dataDxfId="88"/>
    <tableColumn id="4" xr3:uid="{9749CDEE-F7F9-4953-97A2-4EB0109A465E}" name="Salary" dataDxfId="87"/>
    <tableColumn id="5" xr3:uid="{86C8D64E-B733-4168-B2BB-AA9E25799793}" name="Joining Date" dataDxfId="8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3BD9F59-6B96-4714-8806-ADC5EB8D228C}" name="Table3" displayName="Table3" ref="B5:E25" totalsRowShown="0" headerRowDxfId="85" dataDxfId="83" headerRowBorderDxfId="84" tableBorderDxfId="82" totalsRowBorderDxfId="81">
  <autoFilter ref="B5:E25" xr:uid="{03BD9F59-6B96-4714-8806-ADC5EB8D228C}"/>
  <tableColumns count="4">
    <tableColumn id="1" xr3:uid="{F80BE902-6D79-41EE-BF44-E2DCB650DD7A}" name="Product Name" dataDxfId="80"/>
    <tableColumn id="2" xr3:uid="{6E1662D4-B433-41AF-A382-C389F48DDD5C}" name="Region" dataDxfId="79"/>
    <tableColumn id="3" xr3:uid="{E8D45F3F-86DC-4995-9BE9-7C5C6A0327EE}" name="Sales Amount" dataDxfId="78"/>
    <tableColumn id="4" xr3:uid="{46186AFC-E5EE-483F-859D-8BE002E1B6FB}" name="Salesperson" dataDxfId="7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4C88445-DA0B-40F4-B89C-1259878389AA}" name="Table4" displayName="Table4" ref="B5:H25" totalsRowShown="0" headerRowDxfId="76" dataDxfId="74" headerRowBorderDxfId="75" tableBorderDxfId="73" totalsRowBorderDxfId="72">
  <autoFilter ref="B5:H25" xr:uid="{14C88445-DA0B-40F4-B89C-1259878389AA}"/>
  <tableColumns count="7">
    <tableColumn id="1" xr3:uid="{DAA8C6D4-C273-486F-8761-547FD319997D}" name="Roll No" dataDxfId="71"/>
    <tableColumn id="2" xr3:uid="{9FE05849-077D-4789-9F2B-007F0E23D181}" name="Student Name" dataDxfId="70"/>
    <tableColumn id="3" xr3:uid="{B08ADC76-1D8C-432A-B776-038B27EC389F}" name="Maths" dataDxfId="69"/>
    <tableColumn id="4" xr3:uid="{AE8AA3CF-2328-49F6-B641-65F032751A82}" name="Science" dataDxfId="68"/>
    <tableColumn id="5" xr3:uid="{0581BFB5-AB7E-4E88-8F0C-B2D8D1EA780A}" name="English" dataDxfId="67"/>
    <tableColumn id="7" xr3:uid="{FFAC8AC2-B6E2-41FC-9EC8-F572F080187A}" name="Total" dataDxfId="66">
      <calculatedColumnFormula>SUM(Table4[[#This Row],[Maths]:[English]])</calculatedColumnFormula>
    </tableColumn>
    <tableColumn id="6" xr3:uid="{F955AED9-4EBA-4EA3-A2B1-421664FE37C8}" name="Percentage" dataDxfId="65" dataCellStyle="Percent">
      <calculatedColumnFormula>Table4[[#This Row],[Total]]/300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9B25C05-6FB7-439C-BE1F-14B0F3A6D2FB}" name="Table5" displayName="Table5" ref="B3:D23" totalsRowShown="0" headerRowDxfId="64" dataDxfId="62" headerRowBorderDxfId="63" tableBorderDxfId="61" totalsRowBorderDxfId="60">
  <autoFilter ref="B3:D23" xr:uid="{09B25C05-6FB7-439C-BE1F-14B0F3A6D2FB}"/>
  <tableColumns count="3">
    <tableColumn id="1" xr3:uid="{AAEF1950-EC49-4D17-BBA1-BCE6FF516076}" name="Invoice No" dataDxfId="59"/>
    <tableColumn id="2" xr3:uid="{DD3502FE-8459-422D-91BE-7AEF89BC1984}" name="Date" dataDxfId="58"/>
    <tableColumn id="3" xr3:uid="{339D8814-3169-4D99-852A-AB0B1ADF9523}" name="Sales Amount" dataDxfId="5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23FE05-39C8-436A-8C4A-6AB97A4D2D80}" name="Table2" displayName="Table2" ref="A5:C11" totalsRowShown="0" headerRowDxfId="56" dataDxfId="54" headerRowBorderDxfId="55" tableBorderDxfId="53" totalsRowBorderDxfId="52">
  <autoFilter ref="A5:C11" xr:uid="{A723FE05-39C8-436A-8C4A-6AB97A4D2D80}"/>
  <tableColumns count="3">
    <tableColumn id="1" xr3:uid="{F6FB2350-33BF-4334-94B1-C0BC5407FD97}" name="Employee Name" dataDxfId="51"/>
    <tableColumn id="2" xr3:uid="{AD985475-45C8-4C21-B0AA-7A3B030C1C54}" name="Department" dataDxfId="50"/>
    <tableColumn id="3" xr3:uid="{5A48F474-BC1B-4F2C-9DE1-4D510DAFA8CC}" name="Salary" dataDxfId="4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4EF9FC0-C2BC-44BB-9BAE-FD4BDF4AD187}" name="Table6" displayName="Table6" ref="A5:H9" totalsRowShown="0" headerRowDxfId="48" dataDxfId="46" headerRowBorderDxfId="47" tableBorderDxfId="45" totalsRowBorderDxfId="44">
  <autoFilter ref="A5:H9" xr:uid="{B4EF9FC0-C2BC-44BB-9BAE-FD4BDF4AD187}"/>
  <tableColumns count="8">
    <tableColumn id="1" xr3:uid="{B6390088-89D7-4D49-B381-7E15DFC85DCB}" name="Student Name" dataDxfId="43"/>
    <tableColumn id="2" xr3:uid="{776CFDF9-ABF4-4B0D-A8A8-AEFE51D7CBB1}" name="Day 1" dataDxfId="42"/>
    <tableColumn id="3" xr3:uid="{EFC846A5-AA6D-4F78-88F7-F134EB1D71D6}" name="Day 2" dataDxfId="41"/>
    <tableColumn id="4" xr3:uid="{95D5B349-DCF0-4E35-B90B-F6E1F316B959}" name="Day 3" dataDxfId="40"/>
    <tableColumn id="5" xr3:uid="{C0E229F1-31DC-4623-9CEE-04D09C4E3D9C}" name="Day 4" dataDxfId="39"/>
    <tableColumn id="6" xr3:uid="{DFDE1BE3-859D-4AD2-80C3-98CC8D725BA8}" name="Day 5" dataDxfId="38"/>
    <tableColumn id="7" xr3:uid="{512DBE47-2989-4688-B3DE-D550CE102793}" name="Present" dataDxfId="37">
      <calculatedColumnFormula>COUNTIF(Table6[[#This Row],[Day 1]:[Day 5]],Table6[[#This Row],[Day 1]])</calculatedColumnFormula>
    </tableColumn>
    <tableColumn id="8" xr3:uid="{E7718069-0449-4472-A807-17F03D3F6CAB}" name="Absent" dataDxfId="36">
      <calculatedColumnFormula>COUNTIF(Table6[[#This Row],[Day 1]:[Present]],Table6[[#This Row],[Day 2]])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9116217-E0B5-455D-A41B-329C9B29C2B1}" name="Table7" displayName="Table7" ref="A5:B28" totalsRowShown="0" headerRowDxfId="35" dataDxfId="33" headerRowBorderDxfId="34" tableBorderDxfId="32" totalsRowBorderDxfId="31">
  <autoFilter ref="A5:B28" xr:uid="{F9116217-E0B5-455D-A41B-329C9B29C2B1}"/>
  <tableColumns count="2">
    <tableColumn id="1" xr3:uid="{2B9D44B9-593C-4E61-B0B0-F9B22354BEED}" name="Order ID" dataDxfId="30"/>
    <tableColumn id="2" xr3:uid="{A23750B5-64E4-4632-B03E-394ACF128BDC}" name="Sales Amount" dataDxfId="29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F79310A-89D8-4515-ACF1-939D287A05CE}" name="Table8" displayName="Table8" ref="A5:B10" totalsRowShown="0" headerRowDxfId="26" dataDxfId="24" headerRowBorderDxfId="25" tableBorderDxfId="23" totalsRowBorderDxfId="22">
  <autoFilter ref="A5:B10" xr:uid="{7F79310A-89D8-4515-ACF1-939D287A05CE}"/>
  <tableColumns count="2">
    <tableColumn id="1" xr3:uid="{B4499D45-FE17-41D8-A643-B06954C299AA}" name="Product" dataDxfId="21"/>
    <tableColumn id="2" xr3:uid="{4B490DD2-339C-4C07-9AA2-79599294FEA6}" name="Sales Amount" dataDxfId="2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888041C-8E98-4E4B-AEC3-BDAC55C2BEAA}" name="Table9" displayName="Table9" ref="A5:C10" totalsRowShown="0" headerRowDxfId="17" dataDxfId="15" headerRowBorderDxfId="16" tableBorderDxfId="14" totalsRowBorderDxfId="13">
  <autoFilter ref="A5:C10" xr:uid="{9888041C-8E98-4E4B-AEC3-BDAC55C2BEAA}"/>
  <tableColumns count="3">
    <tableColumn id="1" xr3:uid="{92742DB4-C9E5-45BC-B58B-8514A5E6D3C6}" name="Roll No" dataDxfId="12"/>
    <tableColumn id="2" xr3:uid="{AEEB8A80-F074-42D1-9793-3E3C8A98ADBA}" name="Name" dataDxfId="11"/>
    <tableColumn id="3" xr3:uid="{97DA822D-7B7D-4AC5-BC8C-E33362E30B0F}" name="Marks" dataDxfId="1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0CE73E0-76D0-4156-A408-2CF868911B6A}" name="Table10" displayName="Table10" ref="A5:B10" totalsRowShown="0" headerRowDxfId="6" dataDxfId="4" headerRowBorderDxfId="5" tableBorderDxfId="3" totalsRowBorderDxfId="2">
  <autoFilter ref="A5:B10" xr:uid="{60CE73E0-76D0-4156-A408-2CF868911B6A}"/>
  <tableColumns count="2">
    <tableColumn id="1" xr3:uid="{CB7828C0-CD50-45EA-8381-A4F6DB5DFE9C}" name="Employee Name" dataDxfId="1"/>
    <tableColumn id="2" xr3:uid="{E439A093-49F6-4583-8D2D-ED27BF96E0AE}" name="Salar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hetvi@gmail.com" TargetMode="External"/><Relationship Id="rId13" Type="http://schemas.openxmlformats.org/officeDocument/2006/relationships/hyperlink" Target="mailto:jay@gmail.com" TargetMode="External"/><Relationship Id="rId3" Type="http://schemas.openxmlformats.org/officeDocument/2006/relationships/hyperlink" Target="mailto:dhairy@gmail.com" TargetMode="External"/><Relationship Id="rId7" Type="http://schemas.openxmlformats.org/officeDocument/2006/relationships/hyperlink" Target="mailto:jyoti@gmail.com" TargetMode="External"/><Relationship Id="rId12" Type="http://schemas.openxmlformats.org/officeDocument/2006/relationships/hyperlink" Target="mailto:shivam@gmail.com" TargetMode="External"/><Relationship Id="rId2" Type="http://schemas.openxmlformats.org/officeDocument/2006/relationships/hyperlink" Target="mailto:jai@gmail.com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mailto:smit@gmail.com" TargetMode="External"/><Relationship Id="rId6" Type="http://schemas.openxmlformats.org/officeDocument/2006/relationships/hyperlink" Target="mailto:jiya@gmail.com" TargetMode="External"/><Relationship Id="rId11" Type="http://schemas.openxmlformats.org/officeDocument/2006/relationships/hyperlink" Target="mailto:om@gmail.com" TargetMode="External"/><Relationship Id="rId5" Type="http://schemas.openxmlformats.org/officeDocument/2006/relationships/hyperlink" Target="mailto:sanjay@gmail.com" TargetMode="External"/><Relationship Id="rId15" Type="http://schemas.openxmlformats.org/officeDocument/2006/relationships/hyperlink" Target="mailto:darshil@gmail.com" TargetMode="External"/><Relationship Id="rId10" Type="http://schemas.openxmlformats.org/officeDocument/2006/relationships/hyperlink" Target="mailto:pruthvi@gmail.com" TargetMode="External"/><Relationship Id="rId4" Type="http://schemas.openxmlformats.org/officeDocument/2006/relationships/hyperlink" Target="mailto:pavan@gmail.com" TargetMode="External"/><Relationship Id="rId9" Type="http://schemas.openxmlformats.org/officeDocument/2006/relationships/hyperlink" Target="mailto:ravindra@gmail.com" TargetMode="External"/><Relationship Id="rId14" Type="http://schemas.openxmlformats.org/officeDocument/2006/relationships/hyperlink" Target="mailto:neel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ravindra@gmail.com" TargetMode="External"/><Relationship Id="rId13" Type="http://schemas.openxmlformats.org/officeDocument/2006/relationships/hyperlink" Target="mailto:neel@gmail.com" TargetMode="External"/><Relationship Id="rId3" Type="http://schemas.openxmlformats.org/officeDocument/2006/relationships/hyperlink" Target="mailto:pavan@gmail.com" TargetMode="External"/><Relationship Id="rId7" Type="http://schemas.openxmlformats.org/officeDocument/2006/relationships/hyperlink" Target="mailto:hetvi@gmail.com" TargetMode="External"/><Relationship Id="rId12" Type="http://schemas.openxmlformats.org/officeDocument/2006/relationships/hyperlink" Target="mailto:jay@gmail.com" TargetMode="External"/><Relationship Id="rId2" Type="http://schemas.openxmlformats.org/officeDocument/2006/relationships/hyperlink" Target="mailto:dhairy@gmail.com" TargetMode="External"/><Relationship Id="rId1" Type="http://schemas.openxmlformats.org/officeDocument/2006/relationships/hyperlink" Target="mailto:jai@gmail.com" TargetMode="External"/><Relationship Id="rId6" Type="http://schemas.openxmlformats.org/officeDocument/2006/relationships/hyperlink" Target="mailto:jyoti@gmail.com" TargetMode="External"/><Relationship Id="rId11" Type="http://schemas.openxmlformats.org/officeDocument/2006/relationships/hyperlink" Target="mailto:shivam@gmail.com" TargetMode="External"/><Relationship Id="rId5" Type="http://schemas.openxmlformats.org/officeDocument/2006/relationships/hyperlink" Target="mailto:jiya@gmail.com" TargetMode="External"/><Relationship Id="rId15" Type="http://schemas.openxmlformats.org/officeDocument/2006/relationships/hyperlink" Target="mailto:smit@gmail.com" TargetMode="External"/><Relationship Id="rId10" Type="http://schemas.openxmlformats.org/officeDocument/2006/relationships/hyperlink" Target="mailto:om@gmail.com" TargetMode="External"/><Relationship Id="rId4" Type="http://schemas.openxmlformats.org/officeDocument/2006/relationships/hyperlink" Target="mailto:sanjay@gmail.com" TargetMode="External"/><Relationship Id="rId9" Type="http://schemas.openxmlformats.org/officeDocument/2006/relationships/hyperlink" Target="mailto:pruthvi@gmail.com" TargetMode="External"/><Relationship Id="rId14" Type="http://schemas.openxmlformats.org/officeDocument/2006/relationships/hyperlink" Target="mailto:darshil@gmail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ravindra@gmail.com" TargetMode="External"/><Relationship Id="rId13" Type="http://schemas.openxmlformats.org/officeDocument/2006/relationships/hyperlink" Target="mailto:neel@gmail.com" TargetMode="External"/><Relationship Id="rId3" Type="http://schemas.openxmlformats.org/officeDocument/2006/relationships/hyperlink" Target="mailto:pavan@gmail.com" TargetMode="External"/><Relationship Id="rId7" Type="http://schemas.openxmlformats.org/officeDocument/2006/relationships/hyperlink" Target="mailto:hetvi@gmail.com" TargetMode="External"/><Relationship Id="rId12" Type="http://schemas.openxmlformats.org/officeDocument/2006/relationships/hyperlink" Target="mailto:jay@gmail.com" TargetMode="External"/><Relationship Id="rId2" Type="http://schemas.openxmlformats.org/officeDocument/2006/relationships/hyperlink" Target="mailto:dhairy@gmail.com" TargetMode="External"/><Relationship Id="rId1" Type="http://schemas.openxmlformats.org/officeDocument/2006/relationships/hyperlink" Target="mailto:jai@gmail.com" TargetMode="External"/><Relationship Id="rId6" Type="http://schemas.openxmlformats.org/officeDocument/2006/relationships/hyperlink" Target="mailto:jyoti@gmail.com" TargetMode="External"/><Relationship Id="rId11" Type="http://schemas.openxmlformats.org/officeDocument/2006/relationships/hyperlink" Target="mailto:shivam@gmail.com" TargetMode="External"/><Relationship Id="rId5" Type="http://schemas.openxmlformats.org/officeDocument/2006/relationships/hyperlink" Target="mailto:jiya@gmail.com" TargetMode="External"/><Relationship Id="rId15" Type="http://schemas.openxmlformats.org/officeDocument/2006/relationships/hyperlink" Target="mailto:smit@gmail.com" TargetMode="External"/><Relationship Id="rId10" Type="http://schemas.openxmlformats.org/officeDocument/2006/relationships/hyperlink" Target="mailto:om@gmail.com" TargetMode="External"/><Relationship Id="rId4" Type="http://schemas.openxmlformats.org/officeDocument/2006/relationships/hyperlink" Target="mailto:sanjay@gmail.com" TargetMode="External"/><Relationship Id="rId9" Type="http://schemas.openxmlformats.org/officeDocument/2006/relationships/hyperlink" Target="mailto:pruthvi@gmail.com" TargetMode="External"/><Relationship Id="rId14" Type="http://schemas.openxmlformats.org/officeDocument/2006/relationships/hyperlink" Target="mailto:darshil@gmail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FC4A4-E529-4E8E-8C85-FA25D512B155}">
  <dimension ref="A1:E18"/>
  <sheetViews>
    <sheetView workbookViewId="0">
      <selection activeCell="H14" sqref="H14"/>
    </sheetView>
  </sheetViews>
  <sheetFormatPr defaultRowHeight="15" x14ac:dyDescent="0.25"/>
  <cols>
    <col min="1" max="1" width="6.85546875" bestFit="1" customWidth="1"/>
    <col min="2" max="2" width="9.140625" customWidth="1"/>
    <col min="3" max="3" width="5.140625" bestFit="1" customWidth="1"/>
    <col min="4" max="4" width="25.140625" bestFit="1" customWidth="1"/>
    <col min="5" max="5" width="18.5703125" customWidth="1"/>
  </cols>
  <sheetData>
    <row r="1" spans="1:5" ht="19.5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34</v>
      </c>
    </row>
    <row r="2" spans="1:5" ht="21.75" x14ac:dyDescent="0.25">
      <c r="A2" s="2">
        <v>1</v>
      </c>
      <c r="B2" s="2" t="s">
        <v>4</v>
      </c>
      <c r="C2" s="2">
        <v>30</v>
      </c>
      <c r="D2" s="10" t="s">
        <v>19</v>
      </c>
      <c r="E2" s="7">
        <v>59299</v>
      </c>
    </row>
    <row r="3" spans="1:5" ht="21.75" x14ac:dyDescent="0.25">
      <c r="A3" s="2">
        <v>2</v>
      </c>
      <c r="B3" s="2" t="s">
        <v>5</v>
      </c>
      <c r="C3" s="2">
        <v>20</v>
      </c>
      <c r="D3" s="10" t="s">
        <v>20</v>
      </c>
      <c r="E3" s="7">
        <v>31980</v>
      </c>
    </row>
    <row r="4" spans="1:5" ht="21.75" x14ac:dyDescent="0.25">
      <c r="A4" s="2">
        <v>3</v>
      </c>
      <c r="B4" s="2" t="s">
        <v>6</v>
      </c>
      <c r="C4" s="2">
        <v>28</v>
      </c>
      <c r="D4" s="10" t="s">
        <v>21</v>
      </c>
      <c r="E4" s="7">
        <v>63782</v>
      </c>
    </row>
    <row r="5" spans="1:5" ht="21.75" x14ac:dyDescent="0.25">
      <c r="A5" s="2">
        <v>4</v>
      </c>
      <c r="B5" s="2" t="s">
        <v>7</v>
      </c>
      <c r="C5" s="2">
        <v>22</v>
      </c>
      <c r="D5" s="10" t="s">
        <v>22</v>
      </c>
      <c r="E5" s="7">
        <v>94152</v>
      </c>
    </row>
    <row r="6" spans="1:5" ht="21.75" x14ac:dyDescent="0.25">
      <c r="A6" s="2">
        <v>5</v>
      </c>
      <c r="B6" s="2" t="s">
        <v>8</v>
      </c>
      <c r="C6" s="2">
        <v>21</v>
      </c>
      <c r="D6" s="10" t="s">
        <v>23</v>
      </c>
      <c r="E6" s="7">
        <v>74006</v>
      </c>
    </row>
    <row r="7" spans="1:5" ht="21.75" x14ac:dyDescent="0.25">
      <c r="A7" s="2">
        <v>6</v>
      </c>
      <c r="B7" s="2" t="s">
        <v>9</v>
      </c>
      <c r="C7" s="2">
        <v>30</v>
      </c>
      <c r="D7" s="10" t="s">
        <v>24</v>
      </c>
      <c r="E7" s="7">
        <v>30221</v>
      </c>
    </row>
    <row r="8" spans="1:5" ht="21.75" x14ac:dyDescent="0.25">
      <c r="A8" s="2">
        <v>7</v>
      </c>
      <c r="B8" s="2" t="s">
        <v>10</v>
      </c>
      <c r="C8" s="2">
        <v>30</v>
      </c>
      <c r="D8" s="10" t="s">
        <v>25</v>
      </c>
      <c r="E8" s="7">
        <v>26177</v>
      </c>
    </row>
    <row r="9" spans="1:5" ht="21.75" x14ac:dyDescent="0.25">
      <c r="A9" s="2">
        <v>8</v>
      </c>
      <c r="B9" s="2" t="s">
        <v>11</v>
      </c>
      <c r="C9" s="2">
        <v>23</v>
      </c>
      <c r="D9" s="10" t="s">
        <v>26</v>
      </c>
      <c r="E9" s="7">
        <v>42139</v>
      </c>
    </row>
    <row r="10" spans="1:5" ht="21.75" x14ac:dyDescent="0.25">
      <c r="A10" s="2">
        <v>9</v>
      </c>
      <c r="B10" s="2" t="s">
        <v>12</v>
      </c>
      <c r="C10" s="2">
        <v>29</v>
      </c>
      <c r="D10" s="10" t="s">
        <v>27</v>
      </c>
      <c r="E10" s="7">
        <v>23319</v>
      </c>
    </row>
    <row r="11" spans="1:5" ht="21.75" x14ac:dyDescent="0.25">
      <c r="A11" s="2">
        <v>10</v>
      </c>
      <c r="B11" s="2" t="s">
        <v>13</v>
      </c>
      <c r="C11" s="2">
        <v>27</v>
      </c>
      <c r="D11" s="10" t="s">
        <v>28</v>
      </c>
      <c r="E11" s="7">
        <v>59417</v>
      </c>
    </row>
    <row r="12" spans="1:5" ht="21.75" x14ac:dyDescent="0.25">
      <c r="A12" s="2">
        <v>11</v>
      </c>
      <c r="B12" s="2" t="s">
        <v>14</v>
      </c>
      <c r="C12" s="2">
        <v>26</v>
      </c>
      <c r="D12" s="10" t="s">
        <v>29</v>
      </c>
      <c r="E12" s="7">
        <v>60949</v>
      </c>
    </row>
    <row r="13" spans="1:5" ht="21.75" x14ac:dyDescent="0.25">
      <c r="A13" s="2">
        <v>12</v>
      </c>
      <c r="B13" s="2" t="s">
        <v>15</v>
      </c>
      <c r="C13" s="2">
        <v>22</v>
      </c>
      <c r="D13" s="10" t="s">
        <v>30</v>
      </c>
      <c r="E13" s="7">
        <v>69125</v>
      </c>
    </row>
    <row r="14" spans="1:5" ht="21.75" x14ac:dyDescent="0.25">
      <c r="A14" s="2">
        <v>13</v>
      </c>
      <c r="B14" s="2" t="s">
        <v>16</v>
      </c>
      <c r="C14" s="2">
        <v>21</v>
      </c>
      <c r="D14" s="10" t="s">
        <v>31</v>
      </c>
      <c r="E14" s="7">
        <v>25176</v>
      </c>
    </row>
    <row r="15" spans="1:5" ht="21.75" x14ac:dyDescent="0.25">
      <c r="A15" s="2">
        <v>14</v>
      </c>
      <c r="B15" s="2" t="s">
        <v>17</v>
      </c>
      <c r="C15" s="2">
        <v>29</v>
      </c>
      <c r="D15" s="10" t="s">
        <v>32</v>
      </c>
      <c r="E15" s="7">
        <v>24124</v>
      </c>
    </row>
    <row r="16" spans="1:5" ht="21.75" x14ac:dyDescent="0.25">
      <c r="A16" s="2">
        <v>15</v>
      </c>
      <c r="B16" s="2" t="s">
        <v>18</v>
      </c>
      <c r="C16" s="2">
        <v>24</v>
      </c>
      <c r="D16" s="10" t="s">
        <v>33</v>
      </c>
      <c r="E16" s="7">
        <v>65564</v>
      </c>
    </row>
    <row r="18" spans="4:5" ht="18.75" x14ac:dyDescent="0.3">
      <c r="D18" s="11" t="s">
        <v>35</v>
      </c>
      <c r="E18" s="12">
        <f>SUM(E2:E16)</f>
        <v>749430</v>
      </c>
    </row>
  </sheetData>
  <hyperlinks>
    <hyperlink ref="D2" r:id="rId1" xr:uid="{8806D4F3-1698-4EBA-8DD0-58326E602464}"/>
    <hyperlink ref="D3" r:id="rId2" xr:uid="{6486C5A8-B563-454E-AE64-834A16953B48}"/>
    <hyperlink ref="D4" r:id="rId3" xr:uid="{01A82A1C-EE54-4586-9703-013060DE2AC1}"/>
    <hyperlink ref="D5" r:id="rId4" xr:uid="{A57B85FF-5410-4AED-83B1-622AFE3764BA}"/>
    <hyperlink ref="D6" r:id="rId5" xr:uid="{9AF6AC32-B42A-4EF6-9B4C-C631AF544198}"/>
    <hyperlink ref="D7" r:id="rId6" xr:uid="{BE29182B-D0A7-43C3-9756-1AA7995232A2}"/>
    <hyperlink ref="D8" r:id="rId7" xr:uid="{4001ADD2-709D-4540-8560-9FEC54358DA7}"/>
    <hyperlink ref="D9" r:id="rId8" xr:uid="{B1DE1FA3-616B-4199-B175-F7ADD47D9275}"/>
    <hyperlink ref="D10" r:id="rId9" xr:uid="{7D8939AA-AE82-4C3B-8DC7-89A8C84DC9E6}"/>
    <hyperlink ref="D11" r:id="rId10" xr:uid="{A74BEDA9-753C-407D-BF20-C26DB6494DB8}"/>
    <hyperlink ref="D12" r:id="rId11" xr:uid="{00799F10-3B05-4276-8077-10AB29F341AA}"/>
    <hyperlink ref="D13" r:id="rId12" xr:uid="{69550F68-B2A7-41BC-8FF6-9998F487C23D}"/>
    <hyperlink ref="D14" r:id="rId13" xr:uid="{45C3F225-FF94-45CE-A488-5831AFE25473}"/>
    <hyperlink ref="D15" r:id="rId14" xr:uid="{EB8532D3-FC03-4791-BAE8-0293CA1B477B}"/>
    <hyperlink ref="D16" r:id="rId15" xr:uid="{BE1B1830-11AF-4441-8E69-0F165B780278}"/>
  </hyperlinks>
  <pageMargins left="0.7" right="0.7" top="0.75" bottom="0.75" header="0.3" footer="0.3"/>
  <pageSetup orientation="portrait" r:id="rId1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C73EB-547F-4767-A7E0-19071DFB1C0F}">
  <dimension ref="A1:L18"/>
  <sheetViews>
    <sheetView zoomScale="85" zoomScaleNormal="85" workbookViewId="0">
      <selection activeCell="I25" sqref="I25"/>
    </sheetView>
  </sheetViews>
  <sheetFormatPr defaultRowHeight="15" x14ac:dyDescent="0.25"/>
  <cols>
    <col min="1" max="1" width="6.85546875" bestFit="1" customWidth="1"/>
    <col min="2" max="2" width="14" customWidth="1"/>
    <col min="3" max="3" width="15.140625" customWidth="1"/>
    <col min="4" max="4" width="18.7109375" bestFit="1" customWidth="1"/>
    <col min="5" max="5" width="20.140625" bestFit="1" customWidth="1"/>
    <col min="6" max="7" width="18.7109375" customWidth="1"/>
    <col min="8" max="8" width="9" customWidth="1"/>
    <col min="9" max="9" width="27.85546875" customWidth="1"/>
    <col min="10" max="10" width="27.5703125" customWidth="1"/>
    <col min="11" max="11" width="15.7109375" bestFit="1" customWidth="1"/>
    <col min="14" max="14" width="23.7109375" customWidth="1"/>
    <col min="15" max="15" width="18.5703125" customWidth="1"/>
    <col min="16" max="16" width="17.5703125" customWidth="1"/>
    <col min="17" max="17" width="33.28515625" customWidth="1"/>
  </cols>
  <sheetData>
    <row r="1" spans="1:12" ht="19.5" x14ac:dyDescent="0.25">
      <c r="A1" s="1" t="s">
        <v>1</v>
      </c>
      <c r="B1" s="1" t="s">
        <v>36</v>
      </c>
      <c r="C1" s="1" t="s">
        <v>37</v>
      </c>
      <c r="D1" s="1" t="s">
        <v>50</v>
      </c>
      <c r="E1" s="1" t="s">
        <v>53</v>
      </c>
      <c r="F1" s="1" t="s">
        <v>51</v>
      </c>
      <c r="G1" s="1" t="s">
        <v>52</v>
      </c>
      <c r="H1" s="1" t="s">
        <v>2</v>
      </c>
      <c r="I1" s="1" t="s">
        <v>3</v>
      </c>
      <c r="J1" s="1" t="s">
        <v>34</v>
      </c>
      <c r="K1" s="3" t="s">
        <v>69</v>
      </c>
      <c r="L1" s="4"/>
    </row>
    <row r="2" spans="1:12" ht="21.75" x14ac:dyDescent="0.25">
      <c r="A2" s="2">
        <v>1</v>
      </c>
      <c r="B2" s="2" t="s">
        <v>4</v>
      </c>
      <c r="C2" s="2" t="s">
        <v>38</v>
      </c>
      <c r="D2" s="2" t="str">
        <f>_xlfn.CONCAT(B2," ",C2)</f>
        <v>Smit Thakar</v>
      </c>
      <c r="E2" s="2" t="s">
        <v>54</v>
      </c>
      <c r="F2" s="2" t="s">
        <v>4</v>
      </c>
      <c r="G2" s="2" t="s">
        <v>38</v>
      </c>
      <c r="H2" s="2">
        <v>30</v>
      </c>
      <c r="I2" s="10" t="s">
        <v>19</v>
      </c>
      <c r="J2" s="6">
        <v>59299</v>
      </c>
      <c r="K2" s="2">
        <v>8105960823</v>
      </c>
    </row>
    <row r="3" spans="1:12" ht="21.75" x14ac:dyDescent="0.25">
      <c r="A3" s="2">
        <v>2</v>
      </c>
      <c r="B3" s="2" t="s">
        <v>5</v>
      </c>
      <c r="C3" s="2" t="s">
        <v>39</v>
      </c>
      <c r="D3" s="2" t="str">
        <f t="shared" ref="D3:D16" si="0">_xlfn.CONCAT(B3," ",C3)</f>
        <v>Jai Tripathi</v>
      </c>
      <c r="E3" s="2" t="s">
        <v>55</v>
      </c>
      <c r="F3" s="2" t="s">
        <v>5</v>
      </c>
      <c r="G3" s="2" t="s">
        <v>39</v>
      </c>
      <c r="H3" s="2">
        <v>20</v>
      </c>
      <c r="I3" s="10" t="s">
        <v>20</v>
      </c>
      <c r="J3" s="6">
        <v>31980</v>
      </c>
      <c r="K3" s="2">
        <v>9207462917</v>
      </c>
    </row>
    <row r="4" spans="1:12" ht="21.75" x14ac:dyDescent="0.25">
      <c r="A4" s="2">
        <v>3</v>
      </c>
      <c r="B4" s="2" t="s">
        <v>6</v>
      </c>
      <c r="C4" s="2" t="s">
        <v>40</v>
      </c>
      <c r="D4" s="2" t="str">
        <f t="shared" si="0"/>
        <v>Dhairy Gehlot</v>
      </c>
      <c r="E4" s="2" t="s">
        <v>56</v>
      </c>
      <c r="F4" s="2" t="s">
        <v>6</v>
      </c>
      <c r="G4" s="2" t="s">
        <v>40</v>
      </c>
      <c r="H4" s="2">
        <v>28</v>
      </c>
      <c r="I4" s="10" t="s">
        <v>21</v>
      </c>
      <c r="J4" s="6">
        <v>63782</v>
      </c>
      <c r="K4" s="2">
        <v>9143040774</v>
      </c>
    </row>
    <row r="5" spans="1:12" ht="21.75" x14ac:dyDescent="0.25">
      <c r="A5" s="2">
        <v>4</v>
      </c>
      <c r="B5" s="2" t="s">
        <v>7</v>
      </c>
      <c r="C5" s="2" t="s">
        <v>41</v>
      </c>
      <c r="D5" s="2" t="str">
        <f t="shared" si="0"/>
        <v>Pavan Modi</v>
      </c>
      <c r="E5" s="2" t="s">
        <v>57</v>
      </c>
      <c r="F5" s="2" t="s">
        <v>7</v>
      </c>
      <c r="G5" s="2" t="s">
        <v>41</v>
      </c>
      <c r="H5" s="2">
        <v>22</v>
      </c>
      <c r="I5" s="10" t="s">
        <v>22</v>
      </c>
      <c r="J5" s="6">
        <v>94152</v>
      </c>
      <c r="K5" s="2">
        <v>8273926101</v>
      </c>
    </row>
    <row r="6" spans="1:12" ht="21.75" x14ac:dyDescent="0.25">
      <c r="A6" s="2">
        <v>5</v>
      </c>
      <c r="B6" s="2" t="s">
        <v>8</v>
      </c>
      <c r="C6" s="2" t="s">
        <v>42</v>
      </c>
      <c r="D6" s="2" t="str">
        <f t="shared" si="0"/>
        <v>Sanjay Shah</v>
      </c>
      <c r="E6" s="2" t="s">
        <v>58</v>
      </c>
      <c r="F6" s="2" t="s">
        <v>8</v>
      </c>
      <c r="G6" s="2" t="s">
        <v>42</v>
      </c>
      <c r="H6" s="2">
        <v>21</v>
      </c>
      <c r="I6" s="10" t="s">
        <v>23</v>
      </c>
      <c r="J6" s="6">
        <v>74006</v>
      </c>
      <c r="K6" s="2">
        <v>8732103729</v>
      </c>
    </row>
    <row r="7" spans="1:12" ht="21.75" x14ac:dyDescent="0.25">
      <c r="A7" s="2">
        <v>6</v>
      </c>
      <c r="B7" s="2" t="s">
        <v>9</v>
      </c>
      <c r="C7" s="2" t="s">
        <v>43</v>
      </c>
      <c r="D7" s="2" t="str">
        <f t="shared" si="0"/>
        <v>Jiya Patel</v>
      </c>
      <c r="E7" s="2" t="s">
        <v>59</v>
      </c>
      <c r="F7" s="2" t="s">
        <v>9</v>
      </c>
      <c r="G7" s="2" t="s">
        <v>43</v>
      </c>
      <c r="H7" s="2">
        <v>30</v>
      </c>
      <c r="I7" s="10" t="s">
        <v>24</v>
      </c>
      <c r="J7" s="6">
        <v>30221</v>
      </c>
      <c r="K7" s="2">
        <v>9449921489</v>
      </c>
    </row>
    <row r="8" spans="1:12" ht="21.75" x14ac:dyDescent="0.25">
      <c r="A8" s="2">
        <v>7</v>
      </c>
      <c r="B8" s="2" t="s">
        <v>10</v>
      </c>
      <c r="C8" s="2" t="s">
        <v>43</v>
      </c>
      <c r="D8" s="2" t="str">
        <f t="shared" si="0"/>
        <v>Jyoti Patel</v>
      </c>
      <c r="E8" s="2" t="s">
        <v>60</v>
      </c>
      <c r="F8" s="2" t="s">
        <v>10</v>
      </c>
      <c r="G8" s="2" t="s">
        <v>43</v>
      </c>
      <c r="H8" s="2">
        <v>30</v>
      </c>
      <c r="I8" s="10" t="s">
        <v>25</v>
      </c>
      <c r="J8" s="6">
        <v>26177</v>
      </c>
      <c r="K8" s="2">
        <v>7625228618</v>
      </c>
    </row>
    <row r="9" spans="1:12" ht="21.75" x14ac:dyDescent="0.25">
      <c r="A9" s="2">
        <v>8</v>
      </c>
      <c r="B9" s="2" t="s">
        <v>11</v>
      </c>
      <c r="C9" s="2" t="s">
        <v>44</v>
      </c>
      <c r="D9" s="2" t="str">
        <f t="shared" si="0"/>
        <v>Hetvi Joshi</v>
      </c>
      <c r="E9" s="2" t="s">
        <v>61</v>
      </c>
      <c r="F9" s="2" t="s">
        <v>11</v>
      </c>
      <c r="G9" s="2" t="s">
        <v>44</v>
      </c>
      <c r="H9" s="2">
        <v>23</v>
      </c>
      <c r="I9" s="10" t="s">
        <v>26</v>
      </c>
      <c r="J9" s="6">
        <v>42139</v>
      </c>
      <c r="K9" s="2">
        <v>9275614059</v>
      </c>
    </row>
    <row r="10" spans="1:12" ht="21.75" x14ac:dyDescent="0.25">
      <c r="A10" s="2">
        <v>9</v>
      </c>
      <c r="B10" s="2" t="s">
        <v>12</v>
      </c>
      <c r="C10" s="2" t="s">
        <v>45</v>
      </c>
      <c r="D10" s="2" t="str">
        <f t="shared" si="0"/>
        <v>Ravindra Jadav</v>
      </c>
      <c r="E10" s="2" t="s">
        <v>62</v>
      </c>
      <c r="F10" s="2" t="s">
        <v>12</v>
      </c>
      <c r="G10" s="2" t="s">
        <v>45</v>
      </c>
      <c r="H10" s="2">
        <v>29</v>
      </c>
      <c r="I10" s="10" t="s">
        <v>27</v>
      </c>
      <c r="J10" s="6">
        <v>23319</v>
      </c>
      <c r="K10" s="2">
        <v>8234323063</v>
      </c>
    </row>
    <row r="11" spans="1:12" ht="21.75" x14ac:dyDescent="0.25">
      <c r="A11" s="2">
        <v>10</v>
      </c>
      <c r="B11" s="2" t="s">
        <v>13</v>
      </c>
      <c r="C11" s="2" t="s">
        <v>46</v>
      </c>
      <c r="D11" s="2" t="str">
        <f t="shared" si="0"/>
        <v>Pruthvi Jadeja</v>
      </c>
      <c r="E11" s="2" t="s">
        <v>63</v>
      </c>
      <c r="F11" s="2" t="s">
        <v>13</v>
      </c>
      <c r="G11" s="2" t="s">
        <v>46</v>
      </c>
      <c r="H11" s="2">
        <v>27</v>
      </c>
      <c r="I11" s="10" t="s">
        <v>28</v>
      </c>
      <c r="J11" s="6">
        <v>59417</v>
      </c>
      <c r="K11" s="2">
        <v>7574286802</v>
      </c>
    </row>
    <row r="12" spans="1:12" ht="21.75" x14ac:dyDescent="0.25">
      <c r="A12" s="2">
        <v>11</v>
      </c>
      <c r="B12" s="2" t="s">
        <v>14</v>
      </c>
      <c r="C12" s="2" t="s">
        <v>47</v>
      </c>
      <c r="D12" s="2" t="str">
        <f t="shared" si="0"/>
        <v>Om Thakkar</v>
      </c>
      <c r="E12" s="2" t="s">
        <v>64</v>
      </c>
      <c r="F12" s="2" t="s">
        <v>14</v>
      </c>
      <c r="G12" s="2" t="s">
        <v>47</v>
      </c>
      <c r="H12" s="2">
        <v>26</v>
      </c>
      <c r="I12" s="10" t="s">
        <v>29</v>
      </c>
      <c r="J12" s="6">
        <v>60949</v>
      </c>
      <c r="K12" s="2">
        <v>8827990356</v>
      </c>
    </row>
    <row r="13" spans="1:12" ht="21.75" x14ac:dyDescent="0.25">
      <c r="A13" s="2">
        <v>12</v>
      </c>
      <c r="B13" s="2" t="s">
        <v>15</v>
      </c>
      <c r="C13" s="2" t="s">
        <v>48</v>
      </c>
      <c r="D13" s="2" t="str">
        <f t="shared" si="0"/>
        <v>Shivam Soni</v>
      </c>
      <c r="E13" s="2" t="s">
        <v>65</v>
      </c>
      <c r="F13" s="2" t="s">
        <v>15</v>
      </c>
      <c r="G13" s="2" t="s">
        <v>48</v>
      </c>
      <c r="H13" s="2">
        <v>22</v>
      </c>
      <c r="I13" s="10" t="s">
        <v>30</v>
      </c>
      <c r="J13" s="6">
        <v>69125</v>
      </c>
      <c r="K13" s="2">
        <v>8561164722</v>
      </c>
    </row>
    <row r="14" spans="1:12" ht="21.75" x14ac:dyDescent="0.25">
      <c r="A14" s="2">
        <v>13</v>
      </c>
      <c r="B14" s="2" t="s">
        <v>16</v>
      </c>
      <c r="C14" s="2" t="s">
        <v>49</v>
      </c>
      <c r="D14" s="2" t="str">
        <f t="shared" si="0"/>
        <v>Jay Kapadiya</v>
      </c>
      <c r="E14" s="2" t="s">
        <v>66</v>
      </c>
      <c r="F14" s="2" t="s">
        <v>16</v>
      </c>
      <c r="G14" s="2" t="s">
        <v>49</v>
      </c>
      <c r="H14" s="2">
        <v>21</v>
      </c>
      <c r="I14" s="10" t="s">
        <v>31</v>
      </c>
      <c r="J14" s="6">
        <v>25176</v>
      </c>
      <c r="K14" s="2">
        <v>9193630379</v>
      </c>
    </row>
    <row r="15" spans="1:12" ht="21.75" x14ac:dyDescent="0.25">
      <c r="A15" s="2">
        <v>14</v>
      </c>
      <c r="B15" s="2" t="s">
        <v>17</v>
      </c>
      <c r="C15" s="2" t="s">
        <v>44</v>
      </c>
      <c r="D15" s="2" t="str">
        <f t="shared" si="0"/>
        <v>Neel Joshi</v>
      </c>
      <c r="E15" s="2" t="s">
        <v>67</v>
      </c>
      <c r="F15" s="2" t="s">
        <v>17</v>
      </c>
      <c r="G15" s="2" t="s">
        <v>44</v>
      </c>
      <c r="H15" s="2">
        <v>29</v>
      </c>
      <c r="I15" s="10" t="s">
        <v>32</v>
      </c>
      <c r="J15" s="6">
        <v>24124</v>
      </c>
      <c r="K15" s="2">
        <v>8190866349</v>
      </c>
    </row>
    <row r="16" spans="1:12" ht="21.75" x14ac:dyDescent="0.25">
      <c r="A16" s="2">
        <v>15</v>
      </c>
      <c r="B16" s="2" t="s">
        <v>18</v>
      </c>
      <c r="C16" s="2" t="s">
        <v>43</v>
      </c>
      <c r="D16" s="2" t="str">
        <f t="shared" si="0"/>
        <v>Darshil Patel</v>
      </c>
      <c r="E16" s="2" t="s">
        <v>68</v>
      </c>
      <c r="F16" s="2" t="s">
        <v>18</v>
      </c>
      <c r="G16" s="2" t="s">
        <v>43</v>
      </c>
      <c r="H16" s="2">
        <v>24</v>
      </c>
      <c r="I16" s="15" t="s">
        <v>33</v>
      </c>
      <c r="J16" s="6">
        <v>65564</v>
      </c>
      <c r="K16" s="2">
        <v>8070145047</v>
      </c>
    </row>
    <row r="18" spans="9:10" ht="21" x14ac:dyDescent="0.35">
      <c r="I18" s="14" t="s">
        <v>35</v>
      </c>
      <c r="J18" s="13">
        <f>SUM(J2:J16)</f>
        <v>749430</v>
      </c>
    </row>
  </sheetData>
  <hyperlinks>
    <hyperlink ref="I3" r:id="rId1" xr:uid="{7FCF7042-9625-47F8-8C2F-803D05F5ECB6}"/>
    <hyperlink ref="I4" r:id="rId2" xr:uid="{51B08CE3-83BA-4384-9DAD-8BD308639101}"/>
    <hyperlink ref="I5" r:id="rId3" xr:uid="{DB956AA0-3622-4809-A6E8-5692C331EFDA}"/>
    <hyperlink ref="I6" r:id="rId4" xr:uid="{713003EA-0857-48C9-A167-CC352448CA9B}"/>
    <hyperlink ref="I7" r:id="rId5" xr:uid="{24F295C3-62C2-4796-8C85-252248C0A753}"/>
    <hyperlink ref="I8" r:id="rId6" xr:uid="{44F8C14E-A930-4B13-8DEA-4D4BE4363C78}"/>
    <hyperlink ref="I9" r:id="rId7" xr:uid="{75582FB3-80B4-4888-A7B3-1B801C208974}"/>
    <hyperlink ref="I10" r:id="rId8" xr:uid="{9E0E76AD-898A-476D-B402-D9CEDE2DE15C}"/>
    <hyperlink ref="I11" r:id="rId9" xr:uid="{A519BA5E-2A2D-452D-9279-4CD7CB917B7C}"/>
    <hyperlink ref="I12" r:id="rId10" xr:uid="{FE96C234-D1E5-4EC5-AD29-D855549AF6C0}"/>
    <hyperlink ref="I13" r:id="rId11" xr:uid="{F6C890EC-F79D-4E98-9CD6-64A4A8CED7CF}"/>
    <hyperlink ref="I14" r:id="rId12" xr:uid="{A37EB3BF-B743-4070-86C3-AC573B459992}"/>
    <hyperlink ref="I15" r:id="rId13" xr:uid="{9B0D89E7-C644-46B7-8731-021DB0C65D29}"/>
    <hyperlink ref="I16" r:id="rId14" xr:uid="{767711B4-6E89-4A52-B5AD-CAABAC2E2B48}"/>
    <hyperlink ref="I2" r:id="rId15" xr:uid="{494FF0B7-E903-4C84-A3D1-21D4EB0AD97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72AA5-F0DE-45D7-BDB4-CCC991B42372}">
  <dimension ref="A1:D16"/>
  <sheetViews>
    <sheetView workbookViewId="0">
      <selection activeCell="D19" sqref="D19"/>
    </sheetView>
  </sheetViews>
  <sheetFormatPr defaultRowHeight="15" x14ac:dyDescent="0.25"/>
  <cols>
    <col min="1" max="1" width="24" customWidth="1"/>
    <col min="2" max="2" width="19.85546875" customWidth="1"/>
    <col min="3" max="3" width="21.42578125" customWidth="1"/>
    <col min="4" max="4" width="31" customWidth="1"/>
  </cols>
  <sheetData>
    <row r="1" spans="1:4" ht="28.5" x14ac:dyDescent="0.25">
      <c r="A1" s="9" t="s">
        <v>88</v>
      </c>
      <c r="B1" s="9" t="s">
        <v>87</v>
      </c>
      <c r="C1" s="9" t="s">
        <v>70</v>
      </c>
      <c r="D1" s="9" t="s">
        <v>71</v>
      </c>
    </row>
    <row r="2" spans="1:4" ht="21.75" x14ac:dyDescent="0.25">
      <c r="A2" s="8" t="s">
        <v>19</v>
      </c>
      <c r="B2" s="5" t="s">
        <v>72</v>
      </c>
      <c r="C2" s="5" t="s">
        <v>89</v>
      </c>
      <c r="D2" s="5" t="s">
        <v>90</v>
      </c>
    </row>
    <row r="3" spans="1:4" ht="21.75" x14ac:dyDescent="0.25">
      <c r="A3" s="8" t="s">
        <v>20</v>
      </c>
      <c r="B3" s="5" t="s">
        <v>73</v>
      </c>
      <c r="C3" s="5" t="s">
        <v>89</v>
      </c>
      <c r="D3" s="5" t="s">
        <v>90</v>
      </c>
    </row>
    <row r="4" spans="1:4" ht="21.75" x14ac:dyDescent="0.25">
      <c r="A4" s="8" t="s">
        <v>21</v>
      </c>
      <c r="B4" s="5" t="s">
        <v>74</v>
      </c>
      <c r="C4" s="5" t="s">
        <v>89</v>
      </c>
      <c r="D4" s="5" t="s">
        <v>90</v>
      </c>
    </row>
    <row r="5" spans="1:4" ht="21.75" x14ac:dyDescent="0.25">
      <c r="A5" s="8" t="s">
        <v>22</v>
      </c>
      <c r="B5" s="5" t="s">
        <v>75</v>
      </c>
      <c r="C5" s="5" t="s">
        <v>89</v>
      </c>
      <c r="D5" s="5" t="s">
        <v>90</v>
      </c>
    </row>
    <row r="6" spans="1:4" ht="21.75" x14ac:dyDescent="0.25">
      <c r="A6" s="8" t="s">
        <v>23</v>
      </c>
      <c r="B6" s="5" t="s">
        <v>76</v>
      </c>
      <c r="C6" s="5" t="s">
        <v>89</v>
      </c>
      <c r="D6" s="5" t="s">
        <v>90</v>
      </c>
    </row>
    <row r="7" spans="1:4" ht="21.75" x14ac:dyDescent="0.25">
      <c r="A7" s="8" t="s">
        <v>24</v>
      </c>
      <c r="B7" s="5" t="s">
        <v>77</v>
      </c>
      <c r="C7" s="5" t="s">
        <v>89</v>
      </c>
      <c r="D7" s="5" t="s">
        <v>90</v>
      </c>
    </row>
    <row r="8" spans="1:4" ht="21.75" x14ac:dyDescent="0.25">
      <c r="A8" s="8" t="s">
        <v>25</v>
      </c>
      <c r="B8" s="5" t="s">
        <v>78</v>
      </c>
      <c r="C8" s="5" t="s">
        <v>89</v>
      </c>
      <c r="D8" s="5" t="s">
        <v>90</v>
      </c>
    </row>
    <row r="9" spans="1:4" ht="21.75" x14ac:dyDescent="0.25">
      <c r="A9" s="8" t="s">
        <v>26</v>
      </c>
      <c r="B9" s="5" t="s">
        <v>79</v>
      </c>
      <c r="C9" s="5" t="s">
        <v>89</v>
      </c>
      <c r="D9" s="5" t="s">
        <v>90</v>
      </c>
    </row>
    <row r="10" spans="1:4" ht="21.75" x14ac:dyDescent="0.25">
      <c r="A10" s="8" t="s">
        <v>27</v>
      </c>
      <c r="B10" s="5" t="s">
        <v>80</v>
      </c>
      <c r="C10" s="5" t="s">
        <v>89</v>
      </c>
      <c r="D10" s="5" t="s">
        <v>90</v>
      </c>
    </row>
    <row r="11" spans="1:4" ht="21.75" x14ac:dyDescent="0.25">
      <c r="A11" s="8" t="s">
        <v>28</v>
      </c>
      <c r="B11" s="5" t="s">
        <v>81</v>
      </c>
      <c r="C11" s="5" t="s">
        <v>89</v>
      </c>
      <c r="D11" s="5" t="s">
        <v>90</v>
      </c>
    </row>
    <row r="12" spans="1:4" ht="21.75" x14ac:dyDescent="0.25">
      <c r="A12" s="8" t="s">
        <v>29</v>
      </c>
      <c r="B12" s="5" t="s">
        <v>82</v>
      </c>
      <c r="C12" s="5" t="s">
        <v>89</v>
      </c>
      <c r="D12" s="5" t="s">
        <v>90</v>
      </c>
    </row>
    <row r="13" spans="1:4" ht="21.75" x14ac:dyDescent="0.25">
      <c r="A13" s="8" t="s">
        <v>30</v>
      </c>
      <c r="B13" s="5" t="s">
        <v>83</v>
      </c>
      <c r="C13" s="5" t="s">
        <v>89</v>
      </c>
      <c r="D13" s="5" t="s">
        <v>90</v>
      </c>
    </row>
    <row r="14" spans="1:4" ht="21.75" x14ac:dyDescent="0.25">
      <c r="A14" s="8" t="s">
        <v>31</v>
      </c>
      <c r="B14" s="5" t="s">
        <v>84</v>
      </c>
      <c r="C14" s="5" t="s">
        <v>89</v>
      </c>
      <c r="D14" s="5" t="s">
        <v>90</v>
      </c>
    </row>
    <row r="15" spans="1:4" ht="21.75" x14ac:dyDescent="0.25">
      <c r="A15" s="8" t="s">
        <v>32</v>
      </c>
      <c r="B15" s="5" t="s">
        <v>85</v>
      </c>
      <c r="C15" s="5" t="s">
        <v>89</v>
      </c>
      <c r="D15" s="5" t="s">
        <v>90</v>
      </c>
    </row>
    <row r="16" spans="1:4" ht="21.75" x14ac:dyDescent="0.25">
      <c r="A16" s="8" t="s">
        <v>33</v>
      </c>
      <c r="B16" s="5" t="s">
        <v>86</v>
      </c>
      <c r="C16" s="5" t="s">
        <v>89</v>
      </c>
      <c r="D16" s="5" t="s">
        <v>90</v>
      </c>
    </row>
  </sheetData>
  <hyperlinks>
    <hyperlink ref="A3" r:id="rId1" xr:uid="{B79D76C3-343F-492B-9CEC-B74DBBB7EE6D}"/>
    <hyperlink ref="A4" r:id="rId2" xr:uid="{7985D9FC-C4F3-4DDD-9CE2-5A60EB984071}"/>
    <hyperlink ref="A5" r:id="rId3" xr:uid="{07FF302B-DA49-4586-9C17-91B66F79C5A0}"/>
    <hyperlink ref="A6" r:id="rId4" xr:uid="{F161D074-8ADE-4C71-9512-386707D14BC2}"/>
    <hyperlink ref="A7" r:id="rId5" xr:uid="{F7FD27FE-0EB8-4F54-BAF2-21D13EC7EDED}"/>
    <hyperlink ref="A8" r:id="rId6" xr:uid="{AB29F6AB-E43A-4ADF-A36E-285C8695998D}"/>
    <hyperlink ref="A9" r:id="rId7" xr:uid="{749B879B-8C2A-4592-9A60-572350D341FD}"/>
    <hyperlink ref="A10" r:id="rId8" xr:uid="{5464FF2B-88BB-4758-9306-8446C0FC0BF7}"/>
    <hyperlink ref="A11" r:id="rId9" xr:uid="{AFC454A7-1869-4E67-A292-DB02C9ACB094}"/>
    <hyperlink ref="A12" r:id="rId10" xr:uid="{AA82EE08-1FE1-41EF-9A3F-35404BA901DE}"/>
    <hyperlink ref="A13" r:id="rId11" xr:uid="{FBBDC672-96FF-4931-8CD4-76313DDB88EE}"/>
    <hyperlink ref="A14" r:id="rId12" xr:uid="{B2D086EC-48E4-4775-9A7B-FAB06D50A1D8}"/>
    <hyperlink ref="A15" r:id="rId13" xr:uid="{E420B695-784D-43AB-B97B-32678319310F}"/>
    <hyperlink ref="A16" r:id="rId14" xr:uid="{DE656E63-7BC1-429E-8E0F-D8269AA96491}"/>
    <hyperlink ref="A2" r:id="rId15" xr:uid="{DA2C2308-9D5B-4697-BBF5-1E71B2968C1B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E0D17-87A5-44E4-851F-782BCD7F7032}">
  <dimension ref="B1:T24"/>
  <sheetViews>
    <sheetView zoomScale="85" zoomScaleNormal="85" workbookViewId="0">
      <selection activeCell="E31" sqref="A1:XFD1048576"/>
    </sheetView>
  </sheetViews>
  <sheetFormatPr defaultRowHeight="15" x14ac:dyDescent="0.25"/>
  <cols>
    <col min="2" max="2" width="18.85546875" bestFit="1" customWidth="1"/>
    <col min="3" max="3" width="23.28515625" customWidth="1"/>
    <col min="4" max="4" width="20.7109375" bestFit="1" customWidth="1"/>
    <col min="5" max="5" width="18.42578125" customWidth="1"/>
    <col min="6" max="6" width="32" bestFit="1" customWidth="1"/>
  </cols>
  <sheetData>
    <row r="1" spans="2:20" ht="18.75" x14ac:dyDescent="0.3">
      <c r="B1" s="95" t="s">
        <v>91</v>
      </c>
      <c r="C1" s="95"/>
      <c r="D1" s="95"/>
      <c r="E1" s="95"/>
      <c r="F1" s="95"/>
      <c r="G1" s="95"/>
      <c r="H1" s="95"/>
      <c r="I1" s="95"/>
    </row>
    <row r="2" spans="2:20" ht="18.75" x14ac:dyDescent="0.3">
      <c r="B2" s="96" t="s">
        <v>92</v>
      </c>
      <c r="C2" s="96"/>
      <c r="D2" s="96"/>
      <c r="E2" s="96"/>
      <c r="F2" s="96"/>
      <c r="G2" s="96"/>
      <c r="H2" s="96"/>
      <c r="I2" s="96"/>
    </row>
    <row r="3" spans="2:20" x14ac:dyDescent="0.25">
      <c r="M3" s="97" t="s">
        <v>137</v>
      </c>
      <c r="N3" s="98"/>
      <c r="O3" s="98"/>
      <c r="P3" s="98"/>
      <c r="Q3" s="98"/>
      <c r="R3" s="98"/>
      <c r="S3" s="98"/>
      <c r="T3" s="98"/>
    </row>
    <row r="4" spans="2:20" ht="21" thickBot="1" x14ac:dyDescent="0.4">
      <c r="B4" s="20" t="s">
        <v>93</v>
      </c>
      <c r="C4" s="21" t="s">
        <v>0</v>
      </c>
      <c r="D4" s="21" t="s">
        <v>94</v>
      </c>
      <c r="E4" s="21" t="s">
        <v>34</v>
      </c>
      <c r="F4" s="27" t="s">
        <v>95</v>
      </c>
      <c r="M4" s="98"/>
      <c r="N4" s="98"/>
      <c r="O4" s="98"/>
      <c r="P4" s="98"/>
      <c r="Q4" s="98"/>
      <c r="R4" s="98"/>
      <c r="S4" s="98"/>
      <c r="T4" s="98"/>
    </row>
    <row r="5" spans="2:20" ht="21" thickBot="1" x14ac:dyDescent="0.4">
      <c r="B5" s="16" t="s">
        <v>96</v>
      </c>
      <c r="C5" s="17" t="s">
        <v>97</v>
      </c>
      <c r="D5" s="17" t="s">
        <v>98</v>
      </c>
      <c r="E5" s="22">
        <v>32000</v>
      </c>
      <c r="F5" s="25">
        <v>44573</v>
      </c>
      <c r="M5" s="98"/>
      <c r="N5" s="98"/>
      <c r="O5" s="98"/>
      <c r="P5" s="98"/>
      <c r="Q5" s="98"/>
      <c r="R5" s="98"/>
      <c r="S5" s="98"/>
      <c r="T5" s="98"/>
    </row>
    <row r="6" spans="2:20" ht="21" thickBot="1" x14ac:dyDescent="0.4">
      <c r="B6" s="16" t="s">
        <v>99</v>
      </c>
      <c r="C6" s="17" t="s">
        <v>100</v>
      </c>
      <c r="D6" s="17" t="s">
        <v>101</v>
      </c>
      <c r="E6" s="22">
        <v>45000</v>
      </c>
      <c r="F6" s="26">
        <v>44260</v>
      </c>
      <c r="M6" s="98"/>
      <c r="N6" s="98"/>
      <c r="O6" s="98"/>
      <c r="P6" s="98"/>
      <c r="Q6" s="98"/>
      <c r="R6" s="98"/>
      <c r="S6" s="98"/>
      <c r="T6" s="98"/>
    </row>
    <row r="7" spans="2:20" ht="21" thickBot="1" x14ac:dyDescent="0.4">
      <c r="B7" s="16" t="s">
        <v>102</v>
      </c>
      <c r="C7" s="17" t="s">
        <v>103</v>
      </c>
      <c r="D7" s="17" t="s">
        <v>104</v>
      </c>
      <c r="E7" s="22">
        <v>38000</v>
      </c>
      <c r="F7" s="26">
        <v>44030</v>
      </c>
      <c r="M7" s="98"/>
      <c r="N7" s="98"/>
      <c r="O7" s="98"/>
      <c r="P7" s="98"/>
      <c r="Q7" s="98"/>
      <c r="R7" s="98"/>
      <c r="S7" s="98"/>
      <c r="T7" s="98"/>
    </row>
    <row r="8" spans="2:20" ht="21" thickBot="1" x14ac:dyDescent="0.4">
      <c r="B8" s="16" t="s">
        <v>105</v>
      </c>
      <c r="C8" s="17" t="s">
        <v>106</v>
      </c>
      <c r="D8" s="17" t="s">
        <v>101</v>
      </c>
      <c r="E8" s="22">
        <v>52000</v>
      </c>
      <c r="F8" s="26">
        <v>43779</v>
      </c>
      <c r="M8" s="98"/>
      <c r="N8" s="98"/>
      <c r="O8" s="98"/>
      <c r="P8" s="98"/>
      <c r="Q8" s="98"/>
      <c r="R8" s="98"/>
      <c r="S8" s="98"/>
      <c r="T8" s="98"/>
    </row>
    <row r="9" spans="2:20" ht="21" thickBot="1" x14ac:dyDescent="0.4">
      <c r="B9" s="18" t="s">
        <v>107</v>
      </c>
      <c r="C9" s="19" t="s">
        <v>108</v>
      </c>
      <c r="D9" s="19" t="s">
        <v>109</v>
      </c>
      <c r="E9" s="23">
        <v>30000</v>
      </c>
      <c r="F9" s="26">
        <v>45102</v>
      </c>
      <c r="M9" s="98"/>
      <c r="N9" s="98"/>
      <c r="O9" s="98"/>
      <c r="P9" s="98"/>
      <c r="Q9" s="98"/>
      <c r="R9" s="98"/>
      <c r="S9" s="98"/>
      <c r="T9" s="98"/>
    </row>
    <row r="10" spans="2:20" ht="21" thickBot="1" x14ac:dyDescent="0.4">
      <c r="B10" s="18" t="s">
        <v>110</v>
      </c>
      <c r="C10" s="17" t="s">
        <v>54</v>
      </c>
      <c r="D10" s="17" t="s">
        <v>101</v>
      </c>
      <c r="E10" s="22">
        <v>50000</v>
      </c>
      <c r="F10" s="25">
        <v>43565</v>
      </c>
    </row>
    <row r="11" spans="2:20" ht="21" thickBot="1" x14ac:dyDescent="0.4">
      <c r="B11" s="18" t="s">
        <v>111</v>
      </c>
      <c r="C11" s="17" t="s">
        <v>120</v>
      </c>
      <c r="D11" s="17" t="s">
        <v>101</v>
      </c>
      <c r="E11" s="22">
        <v>75000</v>
      </c>
      <c r="F11" s="26">
        <v>43254</v>
      </c>
    </row>
    <row r="12" spans="2:20" ht="21" customHeight="1" thickBot="1" x14ac:dyDescent="0.4">
      <c r="B12" s="18" t="s">
        <v>112</v>
      </c>
      <c r="C12" s="17" t="s">
        <v>121</v>
      </c>
      <c r="D12" s="17" t="s">
        <v>101</v>
      </c>
      <c r="E12" s="22">
        <v>60000</v>
      </c>
      <c r="F12" s="26">
        <v>44395</v>
      </c>
    </row>
    <row r="13" spans="2:20" ht="21" thickBot="1" x14ac:dyDescent="0.4">
      <c r="B13" s="18" t="s">
        <v>113</v>
      </c>
      <c r="C13" s="17" t="s">
        <v>122</v>
      </c>
      <c r="D13" s="17" t="s">
        <v>109</v>
      </c>
      <c r="E13" s="22">
        <v>25000</v>
      </c>
      <c r="F13" s="26">
        <v>43809</v>
      </c>
    </row>
    <row r="14" spans="2:20" ht="21" thickBot="1" x14ac:dyDescent="0.4">
      <c r="B14" s="18" t="s">
        <v>114</v>
      </c>
      <c r="C14" s="17" t="s">
        <v>65</v>
      </c>
      <c r="D14" s="17" t="s">
        <v>104</v>
      </c>
      <c r="E14" s="22">
        <v>30000</v>
      </c>
      <c r="F14" s="26">
        <v>45468</v>
      </c>
    </row>
    <row r="15" spans="2:20" ht="21" thickBot="1" x14ac:dyDescent="0.4">
      <c r="B15" s="18" t="s">
        <v>115</v>
      </c>
      <c r="C15" s="17" t="s">
        <v>64</v>
      </c>
      <c r="D15" s="17" t="s">
        <v>109</v>
      </c>
      <c r="E15" s="22">
        <v>28000</v>
      </c>
      <c r="F15" s="25">
        <v>42529</v>
      </c>
    </row>
    <row r="16" spans="2:20" ht="21" thickBot="1" x14ac:dyDescent="0.4">
      <c r="B16" s="18" t="s">
        <v>116</v>
      </c>
      <c r="C16" s="17" t="s">
        <v>128</v>
      </c>
      <c r="D16" s="17" t="s">
        <v>101</v>
      </c>
      <c r="E16" s="22">
        <v>35000</v>
      </c>
      <c r="F16" s="26">
        <v>42186</v>
      </c>
    </row>
    <row r="17" spans="2:6" ht="21" thickBot="1" x14ac:dyDescent="0.4">
      <c r="B17" s="18" t="s">
        <v>117</v>
      </c>
      <c r="C17" s="17" t="s">
        <v>129</v>
      </c>
      <c r="D17" s="17" t="s">
        <v>109</v>
      </c>
      <c r="E17" s="22">
        <v>40000</v>
      </c>
      <c r="F17" s="26">
        <v>44760</v>
      </c>
    </row>
    <row r="18" spans="2:6" ht="21" thickBot="1" x14ac:dyDescent="0.4">
      <c r="B18" s="18" t="s">
        <v>118</v>
      </c>
      <c r="C18" s="17" t="s">
        <v>130</v>
      </c>
      <c r="D18" s="17" t="s">
        <v>98</v>
      </c>
      <c r="E18" s="22">
        <v>60000</v>
      </c>
      <c r="F18" s="26">
        <v>43751</v>
      </c>
    </row>
    <row r="19" spans="2:6" ht="21" thickBot="1" x14ac:dyDescent="0.4">
      <c r="B19" s="18" t="s">
        <v>119</v>
      </c>
      <c r="C19" s="17" t="s">
        <v>131</v>
      </c>
      <c r="D19" s="17" t="s">
        <v>98</v>
      </c>
      <c r="E19" s="22">
        <v>35000</v>
      </c>
      <c r="F19" s="26">
        <v>45833</v>
      </c>
    </row>
    <row r="20" spans="2:6" ht="21" thickBot="1" x14ac:dyDescent="0.4">
      <c r="B20" s="18" t="s">
        <v>123</v>
      </c>
      <c r="C20" s="17" t="s">
        <v>132</v>
      </c>
      <c r="D20" s="17" t="s">
        <v>109</v>
      </c>
      <c r="E20" s="22">
        <v>15000</v>
      </c>
      <c r="F20" s="25">
        <v>41523</v>
      </c>
    </row>
    <row r="21" spans="2:6" ht="21" thickBot="1" x14ac:dyDescent="0.4">
      <c r="B21" s="18" t="s">
        <v>124</v>
      </c>
      <c r="C21" s="17" t="s">
        <v>133</v>
      </c>
      <c r="D21" s="17" t="s">
        <v>98</v>
      </c>
      <c r="E21" s="22">
        <v>25000</v>
      </c>
      <c r="F21" s="26">
        <v>40827</v>
      </c>
    </row>
    <row r="22" spans="2:6" ht="21" thickBot="1" x14ac:dyDescent="0.4">
      <c r="B22" s="18" t="s">
        <v>125</v>
      </c>
      <c r="C22" s="17" t="s">
        <v>134</v>
      </c>
      <c r="D22" s="17" t="s">
        <v>101</v>
      </c>
      <c r="E22" s="22">
        <v>45000</v>
      </c>
      <c r="F22" s="26">
        <v>45125</v>
      </c>
    </row>
    <row r="23" spans="2:6" ht="21" thickBot="1" x14ac:dyDescent="0.4">
      <c r="B23" s="18" t="s">
        <v>126</v>
      </c>
      <c r="C23" s="17" t="s">
        <v>135</v>
      </c>
      <c r="D23" s="17" t="s">
        <v>101</v>
      </c>
      <c r="E23" s="22">
        <v>55000</v>
      </c>
      <c r="F23" s="26">
        <v>43752</v>
      </c>
    </row>
    <row r="24" spans="2:6" ht="21" thickBot="1" x14ac:dyDescent="0.4">
      <c r="B24" s="18" t="s">
        <v>127</v>
      </c>
      <c r="C24" s="17" t="s">
        <v>136</v>
      </c>
      <c r="D24" s="17" t="s">
        <v>98</v>
      </c>
      <c r="E24" s="22">
        <v>38000</v>
      </c>
      <c r="F24" s="26">
        <v>46198</v>
      </c>
    </row>
  </sheetData>
  <mergeCells count="3">
    <mergeCell ref="B1:I1"/>
    <mergeCell ref="B2:I2"/>
    <mergeCell ref="M3:T9"/>
  </mergeCells>
  <phoneticPr fontId="15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4BF9F-BF2F-4D17-963C-1A035D36B8BD}">
  <dimension ref="B1:U25"/>
  <sheetViews>
    <sheetView workbookViewId="0">
      <selection activeCell="H18" sqref="A1:XFD1048576"/>
    </sheetView>
  </sheetViews>
  <sheetFormatPr defaultRowHeight="15" x14ac:dyDescent="0.25"/>
  <cols>
    <col min="2" max="2" width="32" bestFit="1" customWidth="1"/>
    <col min="3" max="3" width="13.5703125" bestFit="1" customWidth="1"/>
    <col min="4" max="4" width="21" bestFit="1" customWidth="1"/>
    <col min="5" max="5" width="19" bestFit="1" customWidth="1"/>
  </cols>
  <sheetData>
    <row r="1" spans="2:21" ht="18.75" x14ac:dyDescent="0.3">
      <c r="B1" s="99" t="s">
        <v>155</v>
      </c>
      <c r="C1" s="99"/>
      <c r="D1" s="99"/>
      <c r="E1" s="99"/>
      <c r="F1" s="99"/>
    </row>
    <row r="3" spans="2:21" ht="21" x14ac:dyDescent="0.35">
      <c r="B3" s="102" t="s">
        <v>156</v>
      </c>
      <c r="C3" s="102"/>
      <c r="D3" s="102"/>
      <c r="E3" s="102"/>
    </row>
    <row r="5" spans="2:21" s="30" customFormat="1" ht="18" thickBot="1" x14ac:dyDescent="0.3">
      <c r="B5" s="31" t="s">
        <v>138</v>
      </c>
      <c r="C5" s="32" t="s">
        <v>139</v>
      </c>
      <c r="D5" s="33" t="s">
        <v>140</v>
      </c>
      <c r="E5" s="34" t="s">
        <v>141</v>
      </c>
      <c r="O5" s="100" t="s">
        <v>154</v>
      </c>
      <c r="P5" s="101"/>
      <c r="Q5" s="101"/>
      <c r="R5" s="101"/>
      <c r="S5" s="101"/>
      <c r="T5" s="101"/>
      <c r="U5" s="101"/>
    </row>
    <row r="6" spans="2:21" ht="18" thickBot="1" x14ac:dyDescent="0.3">
      <c r="B6" s="35" t="s">
        <v>142</v>
      </c>
      <c r="C6" s="36" t="s">
        <v>143</v>
      </c>
      <c r="D6" s="37">
        <v>45000</v>
      </c>
      <c r="E6" s="38" t="s">
        <v>144</v>
      </c>
      <c r="O6" s="101"/>
      <c r="P6" s="101"/>
      <c r="Q6" s="101"/>
      <c r="R6" s="101"/>
      <c r="S6" s="101"/>
      <c r="T6" s="101"/>
      <c r="U6" s="101"/>
    </row>
    <row r="7" spans="2:21" ht="18" thickBot="1" x14ac:dyDescent="0.3">
      <c r="B7" s="35" t="s">
        <v>145</v>
      </c>
      <c r="C7" s="36" t="s">
        <v>146</v>
      </c>
      <c r="D7" s="37">
        <v>1200</v>
      </c>
      <c r="E7" s="38" t="s">
        <v>147</v>
      </c>
      <c r="O7" s="101"/>
      <c r="P7" s="101"/>
      <c r="Q7" s="101"/>
      <c r="R7" s="101"/>
      <c r="S7" s="101"/>
      <c r="T7" s="101"/>
      <c r="U7" s="101"/>
    </row>
    <row r="8" spans="2:21" ht="18" thickBot="1" x14ac:dyDescent="0.3">
      <c r="B8" s="35" t="s">
        <v>148</v>
      </c>
      <c r="C8" s="36" t="s">
        <v>149</v>
      </c>
      <c r="D8" s="37">
        <v>18000</v>
      </c>
      <c r="E8" s="38" t="s">
        <v>150</v>
      </c>
      <c r="O8" s="101"/>
      <c r="P8" s="101"/>
      <c r="Q8" s="101"/>
      <c r="R8" s="101"/>
      <c r="S8" s="101"/>
      <c r="T8" s="101"/>
      <c r="U8" s="101"/>
    </row>
    <row r="9" spans="2:21" ht="18" thickBot="1" x14ac:dyDescent="0.3">
      <c r="B9" s="39" t="s">
        <v>151</v>
      </c>
      <c r="C9" s="40" t="s">
        <v>152</v>
      </c>
      <c r="D9" s="41">
        <v>62000</v>
      </c>
      <c r="E9" s="42" t="s">
        <v>153</v>
      </c>
    </row>
    <row r="10" spans="2:21" ht="18" thickBot="1" x14ac:dyDescent="0.3">
      <c r="B10" s="35" t="s">
        <v>157</v>
      </c>
      <c r="C10" s="36" t="s">
        <v>143</v>
      </c>
      <c r="D10" s="37">
        <v>48500</v>
      </c>
      <c r="E10" s="38" t="s">
        <v>144</v>
      </c>
    </row>
    <row r="11" spans="2:21" ht="18" thickBot="1" x14ac:dyDescent="0.3">
      <c r="B11" s="35" t="s">
        <v>145</v>
      </c>
      <c r="C11" s="36" t="s">
        <v>146</v>
      </c>
      <c r="D11" s="37">
        <v>55280</v>
      </c>
      <c r="E11" s="38" t="s">
        <v>147</v>
      </c>
    </row>
    <row r="12" spans="2:21" ht="18" thickBot="1" x14ac:dyDescent="0.3">
      <c r="B12" s="35" t="s">
        <v>148</v>
      </c>
      <c r="C12" s="36" t="s">
        <v>149</v>
      </c>
      <c r="D12" s="37">
        <v>62060</v>
      </c>
      <c r="E12" s="38" t="s">
        <v>150</v>
      </c>
    </row>
    <row r="13" spans="2:21" ht="18" thickBot="1" x14ac:dyDescent="0.3">
      <c r="B13" s="39" t="s">
        <v>151</v>
      </c>
      <c r="C13" s="40" t="s">
        <v>152</v>
      </c>
      <c r="D13" s="41">
        <v>68840</v>
      </c>
      <c r="E13" s="42" t="s">
        <v>153</v>
      </c>
    </row>
    <row r="14" spans="2:21" ht="18" thickBot="1" x14ac:dyDescent="0.3">
      <c r="B14" s="35" t="s">
        <v>158</v>
      </c>
      <c r="C14" s="36" t="s">
        <v>143</v>
      </c>
      <c r="D14" s="37">
        <v>75620</v>
      </c>
      <c r="E14" s="38" t="s">
        <v>144</v>
      </c>
    </row>
    <row r="15" spans="2:21" ht="18" thickBot="1" x14ac:dyDescent="0.3">
      <c r="B15" s="35" t="s">
        <v>145</v>
      </c>
      <c r="C15" s="36" t="s">
        <v>146</v>
      </c>
      <c r="D15" s="37">
        <v>82400</v>
      </c>
      <c r="E15" s="38" t="s">
        <v>147</v>
      </c>
    </row>
    <row r="16" spans="2:21" ht="18" thickBot="1" x14ac:dyDescent="0.3">
      <c r="B16" s="35" t="s">
        <v>148</v>
      </c>
      <c r="C16" s="36" t="s">
        <v>149</v>
      </c>
      <c r="D16" s="37">
        <v>89180</v>
      </c>
      <c r="E16" s="38" t="s">
        <v>150</v>
      </c>
    </row>
    <row r="17" spans="2:5" ht="18" thickBot="1" x14ac:dyDescent="0.3">
      <c r="B17" s="39" t="s">
        <v>151</v>
      </c>
      <c r="C17" s="40" t="s">
        <v>152</v>
      </c>
      <c r="D17" s="41">
        <v>95960</v>
      </c>
      <c r="E17" s="42" t="s">
        <v>153</v>
      </c>
    </row>
    <row r="18" spans="2:5" ht="18" thickBot="1" x14ac:dyDescent="0.3">
      <c r="B18" s="35" t="s">
        <v>159</v>
      </c>
      <c r="C18" s="36" t="s">
        <v>143</v>
      </c>
      <c r="D18" s="37">
        <v>102740</v>
      </c>
      <c r="E18" s="38" t="s">
        <v>144</v>
      </c>
    </row>
    <row r="19" spans="2:5" ht="18" thickBot="1" x14ac:dyDescent="0.3">
      <c r="B19" s="35" t="s">
        <v>145</v>
      </c>
      <c r="C19" s="36" t="s">
        <v>146</v>
      </c>
      <c r="D19" s="37">
        <v>109520</v>
      </c>
      <c r="E19" s="38" t="s">
        <v>147</v>
      </c>
    </row>
    <row r="20" spans="2:5" ht="18" thickBot="1" x14ac:dyDescent="0.3">
      <c r="B20" s="35" t="s">
        <v>148</v>
      </c>
      <c r="C20" s="36" t="s">
        <v>149</v>
      </c>
      <c r="D20" s="37">
        <v>116300</v>
      </c>
      <c r="E20" s="38" t="s">
        <v>150</v>
      </c>
    </row>
    <row r="21" spans="2:5" ht="18" thickBot="1" x14ac:dyDescent="0.3">
      <c r="B21" s="39" t="s">
        <v>151</v>
      </c>
      <c r="C21" s="40" t="s">
        <v>152</v>
      </c>
      <c r="D21" s="41">
        <v>123080</v>
      </c>
      <c r="E21" s="42" t="s">
        <v>153</v>
      </c>
    </row>
    <row r="22" spans="2:5" ht="18" thickBot="1" x14ac:dyDescent="0.3">
      <c r="B22" s="35" t="s">
        <v>160</v>
      </c>
      <c r="C22" s="36" t="s">
        <v>143</v>
      </c>
      <c r="D22" s="37">
        <v>129860</v>
      </c>
      <c r="E22" s="38" t="s">
        <v>144</v>
      </c>
    </row>
    <row r="23" spans="2:5" ht="18" thickBot="1" x14ac:dyDescent="0.3">
      <c r="B23" s="35" t="s">
        <v>145</v>
      </c>
      <c r="C23" s="36" t="s">
        <v>146</v>
      </c>
      <c r="D23" s="37">
        <v>136640</v>
      </c>
      <c r="E23" s="38" t="s">
        <v>147</v>
      </c>
    </row>
    <row r="24" spans="2:5" ht="18" thickBot="1" x14ac:dyDescent="0.3">
      <c r="B24" s="35" t="s">
        <v>148</v>
      </c>
      <c r="C24" s="36" t="s">
        <v>149</v>
      </c>
      <c r="D24" s="37">
        <v>143420</v>
      </c>
      <c r="E24" s="38" t="s">
        <v>150</v>
      </c>
    </row>
    <row r="25" spans="2:5" ht="17.25" x14ac:dyDescent="0.25">
      <c r="B25" s="39" t="s">
        <v>151</v>
      </c>
      <c r="C25" s="40" t="s">
        <v>152</v>
      </c>
      <c r="D25" s="41">
        <v>150200</v>
      </c>
      <c r="E25" s="42" t="s">
        <v>153</v>
      </c>
    </row>
  </sheetData>
  <mergeCells count="3">
    <mergeCell ref="B1:F1"/>
    <mergeCell ref="O5:U8"/>
    <mergeCell ref="B3:E3"/>
  </mergeCells>
  <phoneticPr fontId="15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084FD-3C00-4812-83EB-69719DAB5380}">
  <dimension ref="B1:R25"/>
  <sheetViews>
    <sheetView topLeftCell="A10" workbookViewId="0">
      <selection activeCell="H30" sqref="A1:XFD1048576"/>
    </sheetView>
  </sheetViews>
  <sheetFormatPr defaultRowHeight="15" x14ac:dyDescent="0.25"/>
  <cols>
    <col min="2" max="2" width="14.28515625" bestFit="1" customWidth="1"/>
    <col min="3" max="3" width="22.140625" bestFit="1" customWidth="1"/>
    <col min="4" max="4" width="12.7109375" bestFit="1" customWidth="1"/>
    <col min="5" max="5" width="14.28515625" bestFit="1" customWidth="1"/>
    <col min="6" max="6" width="14" bestFit="1" customWidth="1"/>
    <col min="7" max="7" width="11.42578125" bestFit="1" customWidth="1"/>
    <col min="8" max="8" width="17" bestFit="1" customWidth="1"/>
  </cols>
  <sheetData>
    <row r="1" spans="2:18" ht="21" x14ac:dyDescent="0.35">
      <c r="B1" s="103" t="s">
        <v>161</v>
      </c>
      <c r="C1" s="103"/>
      <c r="D1" s="103"/>
      <c r="E1" s="103"/>
      <c r="F1" s="103"/>
      <c r="G1" s="103"/>
    </row>
    <row r="3" spans="2:18" ht="18.75" x14ac:dyDescent="0.3">
      <c r="B3" s="104" t="s">
        <v>162</v>
      </c>
      <c r="C3" s="105"/>
      <c r="D3" s="105"/>
      <c r="E3" s="105"/>
      <c r="F3" s="105"/>
      <c r="G3" s="105"/>
      <c r="H3" s="105"/>
    </row>
    <row r="5" spans="2:18" ht="18" thickBot="1" x14ac:dyDescent="0.3">
      <c r="B5" s="43" t="s">
        <v>163</v>
      </c>
      <c r="C5" s="44" t="s">
        <v>164</v>
      </c>
      <c r="D5" s="44" t="s">
        <v>165</v>
      </c>
      <c r="E5" s="44" t="s">
        <v>166</v>
      </c>
      <c r="F5" s="44" t="s">
        <v>167</v>
      </c>
      <c r="G5" s="46" t="s">
        <v>35</v>
      </c>
      <c r="H5" s="45" t="s">
        <v>168</v>
      </c>
      <c r="M5" s="100" t="s">
        <v>185</v>
      </c>
      <c r="N5" s="101"/>
      <c r="O5" s="101"/>
      <c r="P5" s="101"/>
      <c r="Q5" s="101"/>
      <c r="R5" s="101"/>
    </row>
    <row r="6" spans="2:18" ht="18" thickBot="1" x14ac:dyDescent="0.3">
      <c r="B6" s="47">
        <v>1</v>
      </c>
      <c r="C6" s="48" t="s">
        <v>169</v>
      </c>
      <c r="D6" s="48">
        <v>78</v>
      </c>
      <c r="E6" s="48">
        <v>82</v>
      </c>
      <c r="F6" s="48">
        <v>74</v>
      </c>
      <c r="G6" s="49">
        <f>SUM(Table4[[#This Row],[Maths]:[English]])</f>
        <v>234</v>
      </c>
      <c r="H6" s="54">
        <f>Table4[[#This Row],[Total]]/300</f>
        <v>0.78</v>
      </c>
      <c r="M6" s="101"/>
      <c r="N6" s="101"/>
      <c r="O6" s="101"/>
      <c r="P6" s="101"/>
      <c r="Q6" s="101"/>
      <c r="R6" s="101"/>
    </row>
    <row r="7" spans="2:18" ht="18" thickBot="1" x14ac:dyDescent="0.3">
      <c r="B7" s="47">
        <v>2</v>
      </c>
      <c r="C7" s="48" t="s">
        <v>170</v>
      </c>
      <c r="D7" s="48">
        <v>65</v>
      </c>
      <c r="E7" s="48">
        <v>70</v>
      </c>
      <c r="F7" s="48">
        <v>68</v>
      </c>
      <c r="G7" s="49">
        <f>SUM(Table4[[#This Row],[Maths]:[English]])</f>
        <v>203</v>
      </c>
      <c r="H7" s="54">
        <f>Table4[[#This Row],[Total]]/300</f>
        <v>0.67666666666666664</v>
      </c>
      <c r="M7" s="101"/>
      <c r="N7" s="101"/>
      <c r="O7" s="101"/>
      <c r="P7" s="101"/>
      <c r="Q7" s="101"/>
      <c r="R7" s="101"/>
    </row>
    <row r="8" spans="2:18" ht="18" thickBot="1" x14ac:dyDescent="0.3">
      <c r="B8" s="47">
        <v>3</v>
      </c>
      <c r="C8" s="48" t="s">
        <v>171</v>
      </c>
      <c r="D8" s="48">
        <v>90</v>
      </c>
      <c r="E8" s="48">
        <v>88</v>
      </c>
      <c r="F8" s="48">
        <v>92</v>
      </c>
      <c r="G8" s="49">
        <f>SUM(Table4[[#This Row],[Maths]:[English]])</f>
        <v>270</v>
      </c>
      <c r="H8" s="54">
        <f>Table4[[#This Row],[Total]]/300</f>
        <v>0.9</v>
      </c>
      <c r="M8" s="101"/>
      <c r="N8" s="101"/>
      <c r="O8" s="101"/>
      <c r="P8" s="101"/>
      <c r="Q8" s="101"/>
      <c r="R8" s="101"/>
    </row>
    <row r="9" spans="2:18" ht="18" thickBot="1" x14ac:dyDescent="0.3">
      <c r="B9" s="47">
        <v>4</v>
      </c>
      <c r="C9" s="48" t="s">
        <v>172</v>
      </c>
      <c r="D9" s="48">
        <v>35</v>
      </c>
      <c r="E9" s="48">
        <v>40</v>
      </c>
      <c r="F9" s="48">
        <v>38</v>
      </c>
      <c r="G9" s="49">
        <f>SUM(Table4[[#This Row],[Maths]:[English]])</f>
        <v>113</v>
      </c>
      <c r="H9" s="54">
        <f>Table4[[#This Row],[Total]]/300</f>
        <v>0.37666666666666665</v>
      </c>
      <c r="M9" s="101"/>
      <c r="N9" s="101"/>
      <c r="O9" s="101"/>
      <c r="P9" s="101"/>
      <c r="Q9" s="101"/>
      <c r="R9" s="101"/>
    </row>
    <row r="10" spans="2:18" ht="18" thickBot="1" x14ac:dyDescent="0.3">
      <c r="B10" s="50">
        <v>5</v>
      </c>
      <c r="C10" s="51" t="s">
        <v>173</v>
      </c>
      <c r="D10" s="51">
        <v>55</v>
      </c>
      <c r="E10" s="51">
        <v>60</v>
      </c>
      <c r="F10" s="51">
        <v>58</v>
      </c>
      <c r="G10" s="52">
        <f>SUM(Table4[[#This Row],[Maths]:[English]])</f>
        <v>173</v>
      </c>
      <c r="H10" s="55">
        <f>Table4[[#This Row],[Total]]/300</f>
        <v>0.57666666666666666</v>
      </c>
      <c r="M10" s="101"/>
      <c r="N10" s="101"/>
      <c r="O10" s="101"/>
      <c r="P10" s="101"/>
      <c r="Q10" s="101"/>
      <c r="R10" s="101"/>
    </row>
    <row r="11" spans="2:18" ht="18" thickBot="1" x14ac:dyDescent="0.3">
      <c r="B11" s="47">
        <v>6</v>
      </c>
      <c r="C11" s="48" t="s">
        <v>4</v>
      </c>
      <c r="D11" s="48">
        <v>82</v>
      </c>
      <c r="E11" s="48">
        <v>44</v>
      </c>
      <c r="F11" s="48">
        <v>78</v>
      </c>
      <c r="G11" s="53">
        <f>SUM(Table4[[#This Row],[Maths]:[English]])</f>
        <v>204</v>
      </c>
      <c r="H11" s="54">
        <f>Table4[[#This Row],[Total]]/300</f>
        <v>0.68</v>
      </c>
      <c r="M11" s="101"/>
      <c r="N11" s="101"/>
      <c r="O11" s="101"/>
      <c r="P11" s="101"/>
      <c r="Q11" s="101"/>
      <c r="R11" s="101"/>
    </row>
    <row r="12" spans="2:18" ht="18" thickBot="1" x14ac:dyDescent="0.3">
      <c r="B12" s="47">
        <v>7</v>
      </c>
      <c r="C12" s="48" t="s">
        <v>174</v>
      </c>
      <c r="D12" s="48">
        <v>70</v>
      </c>
      <c r="E12" s="48">
        <v>58</v>
      </c>
      <c r="F12" s="48">
        <v>65</v>
      </c>
      <c r="G12" s="53">
        <f>SUM(Table4[[#This Row],[Maths]:[English]])</f>
        <v>193</v>
      </c>
      <c r="H12" s="54">
        <f>Table4[[#This Row],[Total]]/300</f>
        <v>0.64333333333333331</v>
      </c>
    </row>
    <row r="13" spans="2:18" ht="18" thickBot="1" x14ac:dyDescent="0.3">
      <c r="B13" s="47">
        <v>8</v>
      </c>
      <c r="C13" s="48" t="s">
        <v>175</v>
      </c>
      <c r="D13" s="48">
        <v>88</v>
      </c>
      <c r="E13" s="48">
        <v>36</v>
      </c>
      <c r="F13" s="48">
        <v>48</v>
      </c>
      <c r="G13" s="53">
        <f>SUM(Table4[[#This Row],[Maths]:[English]])</f>
        <v>172</v>
      </c>
      <c r="H13" s="54">
        <f>Table4[[#This Row],[Total]]/300</f>
        <v>0.57333333333333336</v>
      </c>
    </row>
    <row r="14" spans="2:18" ht="18" thickBot="1" x14ac:dyDescent="0.3">
      <c r="B14" s="47">
        <v>9</v>
      </c>
      <c r="C14" s="48" t="s">
        <v>176</v>
      </c>
      <c r="D14" s="48">
        <v>40</v>
      </c>
      <c r="E14" s="48">
        <v>88</v>
      </c>
      <c r="F14" s="48">
        <v>37</v>
      </c>
      <c r="G14" s="53">
        <f>SUM(Table4[[#This Row],[Maths]:[English]])</f>
        <v>165</v>
      </c>
      <c r="H14" s="54">
        <f>Table4[[#This Row],[Total]]/300</f>
        <v>0.55000000000000004</v>
      </c>
    </row>
    <row r="15" spans="2:18" ht="18" thickBot="1" x14ac:dyDescent="0.3">
      <c r="B15" s="50">
        <v>10</v>
      </c>
      <c r="C15" s="48" t="s">
        <v>6</v>
      </c>
      <c r="D15" s="51">
        <v>60</v>
      </c>
      <c r="E15" s="48">
        <v>45</v>
      </c>
      <c r="F15" s="48">
        <v>68</v>
      </c>
      <c r="G15" s="53">
        <f>SUM(Table4[[#This Row],[Maths]:[English]])</f>
        <v>173</v>
      </c>
      <c r="H15" s="54">
        <f>Table4[[#This Row],[Total]]/300</f>
        <v>0.57666666666666666</v>
      </c>
    </row>
    <row r="16" spans="2:18" ht="18" thickBot="1" x14ac:dyDescent="0.3">
      <c r="B16" s="47">
        <v>11</v>
      </c>
      <c r="C16" s="48" t="s">
        <v>5</v>
      </c>
      <c r="D16" s="48">
        <v>74</v>
      </c>
      <c r="E16" s="48">
        <v>70</v>
      </c>
      <c r="F16" s="48">
        <v>59</v>
      </c>
      <c r="G16" s="53">
        <f>SUM(Table4[[#This Row],[Maths]:[English]])</f>
        <v>203</v>
      </c>
      <c r="H16" s="54">
        <f>Table4[[#This Row],[Total]]/300</f>
        <v>0.67666666666666664</v>
      </c>
    </row>
    <row r="17" spans="2:8" ht="18" thickBot="1" x14ac:dyDescent="0.3">
      <c r="B17" s="47">
        <v>12</v>
      </c>
      <c r="C17" s="48" t="s">
        <v>177</v>
      </c>
      <c r="D17" s="48">
        <v>68</v>
      </c>
      <c r="E17" s="48">
        <v>60</v>
      </c>
      <c r="F17" s="48">
        <v>48</v>
      </c>
      <c r="G17" s="53">
        <f>SUM(Table4[[#This Row],[Maths]:[English]])</f>
        <v>176</v>
      </c>
      <c r="H17" s="54">
        <f>Table4[[#This Row],[Total]]/300</f>
        <v>0.58666666666666667</v>
      </c>
    </row>
    <row r="18" spans="2:8" ht="18" thickBot="1" x14ac:dyDescent="0.3">
      <c r="B18" s="47">
        <v>13</v>
      </c>
      <c r="C18" s="48" t="s">
        <v>178</v>
      </c>
      <c r="D18" s="48">
        <v>92</v>
      </c>
      <c r="E18" s="48">
        <v>25</v>
      </c>
      <c r="F18" s="48">
        <v>90</v>
      </c>
      <c r="G18" s="53">
        <f>SUM(Table4[[#This Row],[Maths]:[English]])</f>
        <v>207</v>
      </c>
      <c r="H18" s="54">
        <f>Table4[[#This Row],[Total]]/300</f>
        <v>0.69</v>
      </c>
    </row>
    <row r="19" spans="2:8" ht="18" thickBot="1" x14ac:dyDescent="0.3">
      <c r="B19" s="47">
        <v>14</v>
      </c>
      <c r="C19" s="48" t="s">
        <v>15</v>
      </c>
      <c r="D19" s="48">
        <v>38</v>
      </c>
      <c r="E19" s="48">
        <v>39</v>
      </c>
      <c r="F19" s="48">
        <v>45</v>
      </c>
      <c r="G19" s="53">
        <f>SUM(Table4[[#This Row],[Maths]:[English]])</f>
        <v>122</v>
      </c>
      <c r="H19" s="54">
        <f>Table4[[#This Row],[Total]]/300</f>
        <v>0.40666666666666668</v>
      </c>
    </row>
    <row r="20" spans="2:8" ht="18" thickBot="1" x14ac:dyDescent="0.3">
      <c r="B20" s="50">
        <v>15</v>
      </c>
      <c r="C20" s="48" t="s">
        <v>179</v>
      </c>
      <c r="D20" s="51">
        <v>58</v>
      </c>
      <c r="E20" s="48">
        <v>55</v>
      </c>
      <c r="F20" s="48">
        <v>88</v>
      </c>
      <c r="G20" s="53">
        <f>SUM(Table4[[#This Row],[Maths]:[English]])</f>
        <v>201</v>
      </c>
      <c r="H20" s="54">
        <f>Table4[[#This Row],[Total]]/300</f>
        <v>0.67</v>
      </c>
    </row>
    <row r="21" spans="2:8" ht="18" thickBot="1" x14ac:dyDescent="0.3">
      <c r="B21" s="47">
        <v>16</v>
      </c>
      <c r="C21" s="48" t="s">
        <v>180</v>
      </c>
      <c r="D21" s="48">
        <v>78</v>
      </c>
      <c r="E21" s="48">
        <v>84</v>
      </c>
      <c r="F21" s="48">
        <v>90</v>
      </c>
      <c r="G21" s="53">
        <f>SUM(Table4[[#This Row],[Maths]:[English]])</f>
        <v>252</v>
      </c>
      <c r="H21" s="54">
        <f>Table4[[#This Row],[Total]]/300</f>
        <v>0.84</v>
      </c>
    </row>
    <row r="22" spans="2:8" ht="18" thickBot="1" x14ac:dyDescent="0.3">
      <c r="B22" s="47">
        <v>17</v>
      </c>
      <c r="C22" s="48" t="s">
        <v>181</v>
      </c>
      <c r="D22" s="48">
        <v>65</v>
      </c>
      <c r="E22" s="48">
        <v>90</v>
      </c>
      <c r="F22" s="48">
        <v>95</v>
      </c>
      <c r="G22" s="53">
        <f>SUM(Table4[[#This Row],[Maths]:[English]])</f>
        <v>250</v>
      </c>
      <c r="H22" s="54">
        <f>Table4[[#This Row],[Total]]/300</f>
        <v>0.83333333333333337</v>
      </c>
    </row>
    <row r="23" spans="2:8" ht="18" thickBot="1" x14ac:dyDescent="0.3">
      <c r="B23" s="47">
        <v>18</v>
      </c>
      <c r="C23" s="48" t="s">
        <v>182</v>
      </c>
      <c r="D23" s="48">
        <v>90</v>
      </c>
      <c r="E23" s="48">
        <v>78</v>
      </c>
      <c r="F23" s="48">
        <v>45</v>
      </c>
      <c r="G23" s="53">
        <f>SUM(Table4[[#This Row],[Maths]:[English]])</f>
        <v>213</v>
      </c>
      <c r="H23" s="54">
        <f>Table4[[#This Row],[Total]]/300</f>
        <v>0.71</v>
      </c>
    </row>
    <row r="24" spans="2:8" ht="18" thickBot="1" x14ac:dyDescent="0.3">
      <c r="B24" s="47">
        <v>19</v>
      </c>
      <c r="C24" s="48" t="s">
        <v>183</v>
      </c>
      <c r="D24" s="48">
        <v>35</v>
      </c>
      <c r="E24" s="48">
        <v>63</v>
      </c>
      <c r="F24" s="48">
        <v>76</v>
      </c>
      <c r="G24" s="53">
        <f>SUM(Table4[[#This Row],[Maths]:[English]])</f>
        <v>174</v>
      </c>
      <c r="H24" s="54">
        <f>Table4[[#This Row],[Total]]/300</f>
        <v>0.57999999999999996</v>
      </c>
    </row>
    <row r="25" spans="2:8" ht="18" thickBot="1" x14ac:dyDescent="0.3">
      <c r="B25" s="50">
        <v>20</v>
      </c>
      <c r="C25" s="48" t="s">
        <v>184</v>
      </c>
      <c r="D25" s="51">
        <v>55</v>
      </c>
      <c r="E25" s="48">
        <v>85</v>
      </c>
      <c r="F25" s="48">
        <v>66</v>
      </c>
      <c r="G25" s="53">
        <f>SUM(Table4[[#This Row],[Maths]:[English]])</f>
        <v>206</v>
      </c>
      <c r="H25" s="54">
        <f>Table4[[#This Row],[Total]]/300</f>
        <v>0.68666666666666665</v>
      </c>
    </row>
  </sheetData>
  <mergeCells count="3">
    <mergeCell ref="B1:G1"/>
    <mergeCell ref="B3:H3"/>
    <mergeCell ref="M5:R1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2495F-ED7B-4EA7-839B-6D2627FA895F}">
  <dimension ref="B1:P30"/>
  <sheetViews>
    <sheetView workbookViewId="0">
      <selection activeCell="G21" sqref="A1:XFD1048576"/>
    </sheetView>
  </sheetViews>
  <sheetFormatPr defaultRowHeight="15" x14ac:dyDescent="0.25"/>
  <cols>
    <col min="2" max="2" width="18" bestFit="1" customWidth="1"/>
    <col min="3" max="3" width="14.7109375" bestFit="1" customWidth="1"/>
    <col min="4" max="4" width="21.42578125" bestFit="1" customWidth="1"/>
  </cols>
  <sheetData>
    <row r="1" spans="2:16" ht="21" x14ac:dyDescent="0.35">
      <c r="B1" s="103" t="s">
        <v>186</v>
      </c>
      <c r="C1" s="103"/>
      <c r="D1" s="103"/>
      <c r="E1" s="103"/>
      <c r="F1" s="103"/>
    </row>
    <row r="3" spans="2:16" ht="26.25" thickBot="1" x14ac:dyDescent="0.3">
      <c r="B3" s="56" t="s">
        <v>187</v>
      </c>
      <c r="C3" s="57" t="s">
        <v>188</v>
      </c>
      <c r="D3" s="58" t="s">
        <v>140</v>
      </c>
      <c r="M3" s="100" t="s">
        <v>194</v>
      </c>
      <c r="N3" s="101"/>
      <c r="O3" s="101"/>
      <c r="P3" s="101"/>
    </row>
    <row r="4" spans="2:16" ht="18" thickBot="1" x14ac:dyDescent="0.3">
      <c r="B4" s="28" t="s">
        <v>189</v>
      </c>
      <c r="C4" s="24">
        <v>45292</v>
      </c>
      <c r="D4" s="59">
        <v>12000</v>
      </c>
      <c r="M4" s="101"/>
      <c r="N4" s="101"/>
      <c r="O4" s="101"/>
      <c r="P4" s="101"/>
    </row>
    <row r="5" spans="2:16" ht="18" thickBot="1" x14ac:dyDescent="0.3">
      <c r="B5" s="28" t="s">
        <v>190</v>
      </c>
      <c r="C5" s="24">
        <v>45293</v>
      </c>
      <c r="D5" s="59">
        <v>25000</v>
      </c>
      <c r="M5" s="101"/>
      <c r="N5" s="101"/>
      <c r="O5" s="101"/>
      <c r="P5" s="101"/>
    </row>
    <row r="6" spans="2:16" ht="18" thickBot="1" x14ac:dyDescent="0.3">
      <c r="B6" s="28" t="s">
        <v>191</v>
      </c>
      <c r="C6" s="24">
        <v>45294</v>
      </c>
      <c r="D6" s="59">
        <v>8000</v>
      </c>
      <c r="M6" s="101"/>
      <c r="N6" s="101"/>
      <c r="O6" s="101"/>
      <c r="P6" s="101"/>
    </row>
    <row r="7" spans="2:16" ht="18" thickBot="1" x14ac:dyDescent="0.3">
      <c r="B7" s="28" t="s">
        <v>192</v>
      </c>
      <c r="C7" s="24">
        <v>45295</v>
      </c>
      <c r="D7" s="59">
        <v>32000</v>
      </c>
      <c r="M7" s="101"/>
      <c r="N7" s="101"/>
      <c r="O7" s="101"/>
      <c r="P7" s="101"/>
    </row>
    <row r="8" spans="2:16" ht="18" thickBot="1" x14ac:dyDescent="0.3">
      <c r="B8" s="29" t="s">
        <v>193</v>
      </c>
      <c r="C8" s="24">
        <v>45296</v>
      </c>
      <c r="D8" s="60">
        <v>15000</v>
      </c>
    </row>
    <row r="9" spans="2:16" ht="18" thickBot="1" x14ac:dyDescent="0.3">
      <c r="B9" s="28" t="s">
        <v>195</v>
      </c>
      <c r="C9" s="24">
        <v>45515</v>
      </c>
      <c r="D9" s="59">
        <v>20000</v>
      </c>
    </row>
    <row r="10" spans="2:16" ht="18" thickBot="1" x14ac:dyDescent="0.3">
      <c r="B10" s="28" t="s">
        <v>196</v>
      </c>
      <c r="C10" s="24">
        <v>45513</v>
      </c>
      <c r="D10" s="59">
        <v>20000</v>
      </c>
    </row>
    <row r="11" spans="2:16" ht="18" thickBot="1" x14ac:dyDescent="0.3">
      <c r="B11" s="28" t="s">
        <v>197</v>
      </c>
      <c r="C11" s="24">
        <v>45584</v>
      </c>
      <c r="D11" s="59">
        <v>15000</v>
      </c>
    </row>
    <row r="12" spans="2:16" ht="18" thickBot="1" x14ac:dyDescent="0.3">
      <c r="B12" s="28" t="s">
        <v>198</v>
      </c>
      <c r="C12" s="24">
        <v>45447</v>
      </c>
      <c r="D12" s="59">
        <v>22000</v>
      </c>
    </row>
    <row r="13" spans="2:16" ht="18" thickBot="1" x14ac:dyDescent="0.3">
      <c r="B13" s="29" t="s">
        <v>199</v>
      </c>
      <c r="C13" s="24">
        <v>45648</v>
      </c>
      <c r="D13" s="59">
        <v>13000</v>
      </c>
    </row>
    <row r="14" spans="2:16" ht="18" thickBot="1" x14ac:dyDescent="0.3">
      <c r="B14" s="28" t="s">
        <v>200</v>
      </c>
      <c r="C14" s="24">
        <v>45455</v>
      </c>
      <c r="D14" s="59">
        <v>10000</v>
      </c>
    </row>
    <row r="15" spans="2:16" ht="18" thickBot="1" x14ac:dyDescent="0.3">
      <c r="B15" s="28" t="s">
        <v>201</v>
      </c>
      <c r="C15" s="24">
        <v>45327</v>
      </c>
      <c r="D15" s="59">
        <v>4000</v>
      </c>
    </row>
    <row r="16" spans="2:16" ht="18" thickBot="1" x14ac:dyDescent="0.3">
      <c r="B16" s="28" t="s">
        <v>202</v>
      </c>
      <c r="C16" s="24">
        <v>45334</v>
      </c>
      <c r="D16" s="59">
        <v>12000</v>
      </c>
    </row>
    <row r="17" spans="2:4" ht="18" thickBot="1" x14ac:dyDescent="0.3">
      <c r="B17" s="28" t="s">
        <v>203</v>
      </c>
      <c r="C17" s="24">
        <v>45369</v>
      </c>
      <c r="D17" s="59">
        <v>3000</v>
      </c>
    </row>
    <row r="18" spans="2:4" ht="18" thickBot="1" x14ac:dyDescent="0.3">
      <c r="B18" s="29" t="s">
        <v>204</v>
      </c>
      <c r="C18" s="24">
        <v>45644</v>
      </c>
      <c r="D18" s="59">
        <v>5000</v>
      </c>
    </row>
    <row r="19" spans="2:4" ht="18" thickBot="1" x14ac:dyDescent="0.3">
      <c r="B19" s="28" t="s">
        <v>205</v>
      </c>
      <c r="C19" s="24">
        <v>45509</v>
      </c>
      <c r="D19" s="59">
        <v>8000</v>
      </c>
    </row>
    <row r="20" spans="2:4" ht="18" thickBot="1" x14ac:dyDescent="0.3">
      <c r="B20" s="28" t="s">
        <v>206</v>
      </c>
      <c r="C20" s="24">
        <v>45595</v>
      </c>
      <c r="D20" s="59">
        <v>11000</v>
      </c>
    </row>
    <row r="21" spans="2:4" ht="18" thickBot="1" x14ac:dyDescent="0.3">
      <c r="B21" s="28" t="s">
        <v>207</v>
      </c>
      <c r="C21" s="24">
        <v>45458</v>
      </c>
      <c r="D21" s="59">
        <v>12000</v>
      </c>
    </row>
    <row r="22" spans="2:4" ht="18" thickBot="1" x14ac:dyDescent="0.3">
      <c r="B22" s="28" t="s">
        <v>208</v>
      </c>
      <c r="C22" s="24">
        <v>45509</v>
      </c>
      <c r="D22" s="59">
        <v>3000</v>
      </c>
    </row>
    <row r="23" spans="2:4" ht="18" thickBot="1" x14ac:dyDescent="0.3">
      <c r="B23" s="29" t="s">
        <v>209</v>
      </c>
      <c r="C23" s="24">
        <v>45625</v>
      </c>
      <c r="D23" s="59">
        <v>16000</v>
      </c>
    </row>
    <row r="25" spans="2:4" ht="18.75" x14ac:dyDescent="0.3">
      <c r="C25" s="61" t="s">
        <v>210</v>
      </c>
      <c r="D25" s="62">
        <f>SUM(Table5[Sales Amount])</f>
        <v>266000</v>
      </c>
    </row>
    <row r="27" spans="2:4" ht="18.75" x14ac:dyDescent="0.3">
      <c r="C27" s="63" t="s">
        <v>211</v>
      </c>
      <c r="D27" s="64">
        <f>AVERAGE(Table5[Sales Amount])</f>
        <v>13300</v>
      </c>
    </row>
    <row r="29" spans="2:4" ht="18.75" x14ac:dyDescent="0.3">
      <c r="C29" s="67" t="s">
        <v>212</v>
      </c>
      <c r="D29" s="67">
        <f>MAX(Table5[Sales Amount])</f>
        <v>32000</v>
      </c>
    </row>
    <row r="30" spans="2:4" ht="18.75" x14ac:dyDescent="0.3">
      <c r="C30" s="67" t="s">
        <v>213</v>
      </c>
      <c r="D30" s="67">
        <f>MIN(Table5[Sales Amount])</f>
        <v>3000</v>
      </c>
    </row>
  </sheetData>
  <mergeCells count="2">
    <mergeCell ref="B1:F1"/>
    <mergeCell ref="M3:P7"/>
  </mergeCells>
  <phoneticPr fontId="15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28C30-A13E-453E-B3F1-02F225434B2E}">
  <dimension ref="A1:N22"/>
  <sheetViews>
    <sheetView workbookViewId="0">
      <selection activeCell="K21" sqref="A1:XFD1048576"/>
    </sheetView>
  </sheetViews>
  <sheetFormatPr defaultRowHeight="15" x14ac:dyDescent="0.25"/>
  <cols>
    <col min="1" max="1" width="18.85546875" bestFit="1" customWidth="1"/>
    <col min="2" max="2" width="20.7109375" bestFit="1" customWidth="1"/>
    <col min="3" max="3" width="14.85546875" bestFit="1" customWidth="1"/>
  </cols>
  <sheetData>
    <row r="1" spans="1:14" x14ac:dyDescent="0.25">
      <c r="B1" s="106"/>
      <c r="C1" s="106"/>
      <c r="D1" s="106"/>
      <c r="E1" s="106"/>
    </row>
    <row r="5" spans="1:14" s="65" customFormat="1" ht="41.25" thickBot="1" x14ac:dyDescent="0.35">
      <c r="A5" s="75" t="s">
        <v>214</v>
      </c>
      <c r="B5" s="76" t="s">
        <v>94</v>
      </c>
      <c r="C5" s="77" t="s">
        <v>34</v>
      </c>
      <c r="J5" s="107" t="s">
        <v>220</v>
      </c>
      <c r="K5" s="108"/>
      <c r="L5" s="108"/>
      <c r="M5" s="108"/>
      <c r="N5" s="108"/>
    </row>
    <row r="6" spans="1:14" ht="18" thickBot="1" x14ac:dyDescent="0.3">
      <c r="A6" s="71" t="s">
        <v>215</v>
      </c>
      <c r="B6" s="72" t="s">
        <v>98</v>
      </c>
      <c r="C6" s="81">
        <v>28000</v>
      </c>
      <c r="J6" s="108"/>
      <c r="K6" s="108"/>
      <c r="L6" s="108"/>
      <c r="M6" s="108"/>
      <c r="N6" s="108"/>
    </row>
    <row r="7" spans="1:14" ht="18" thickBot="1" x14ac:dyDescent="0.3">
      <c r="A7" s="71" t="s">
        <v>216</v>
      </c>
      <c r="B7" s="72" t="s">
        <v>101</v>
      </c>
      <c r="C7" s="81">
        <v>45000</v>
      </c>
      <c r="J7" s="108"/>
      <c r="K7" s="108"/>
      <c r="L7" s="108"/>
      <c r="M7" s="108"/>
      <c r="N7" s="108"/>
    </row>
    <row r="8" spans="1:14" ht="18" thickBot="1" x14ac:dyDescent="0.3">
      <c r="A8" s="71" t="s">
        <v>217</v>
      </c>
      <c r="B8" s="72" t="s">
        <v>101</v>
      </c>
      <c r="C8" s="81">
        <v>50000</v>
      </c>
      <c r="J8" s="108"/>
      <c r="K8" s="108"/>
      <c r="L8" s="108"/>
      <c r="M8" s="108"/>
      <c r="N8" s="108"/>
    </row>
    <row r="9" spans="1:14" ht="18" thickBot="1" x14ac:dyDescent="0.3">
      <c r="A9" s="71" t="s">
        <v>218</v>
      </c>
      <c r="B9" s="72" t="s">
        <v>104</v>
      </c>
      <c r="C9" s="81">
        <v>42000</v>
      </c>
    </row>
    <row r="10" spans="1:14" ht="18" thickBot="1" x14ac:dyDescent="0.3">
      <c r="A10" s="71" t="s">
        <v>219</v>
      </c>
      <c r="B10" s="72" t="s">
        <v>98</v>
      </c>
      <c r="C10" s="81">
        <v>30000</v>
      </c>
    </row>
    <row r="11" spans="1:14" ht="17.25" x14ac:dyDescent="0.25">
      <c r="A11" s="73" t="s">
        <v>17</v>
      </c>
      <c r="B11" s="74" t="s">
        <v>104</v>
      </c>
      <c r="C11" s="82">
        <v>38000</v>
      </c>
    </row>
    <row r="16" spans="1:14" ht="18.75" x14ac:dyDescent="0.3">
      <c r="B16" s="66" t="s">
        <v>98</v>
      </c>
      <c r="C16" s="83">
        <f>SUMIF(Table2[Department],B6,Table2[Salary])</f>
        <v>58000</v>
      </c>
    </row>
    <row r="17" spans="2:3" ht="18.75" x14ac:dyDescent="0.3">
      <c r="B17" s="66" t="s">
        <v>101</v>
      </c>
      <c r="C17" s="83">
        <f>SUMIF(Table2[Department],B7,Table2[Salary])</f>
        <v>95000</v>
      </c>
    </row>
    <row r="18" spans="2:3" ht="18.75" x14ac:dyDescent="0.3">
      <c r="B18" s="66" t="s">
        <v>104</v>
      </c>
      <c r="C18" s="83">
        <f>SUMIF(Table2[Department],B9,Table2[Salary])</f>
        <v>80000</v>
      </c>
    </row>
    <row r="20" spans="2:3" ht="18.75" x14ac:dyDescent="0.3">
      <c r="B20" s="66" t="s">
        <v>221</v>
      </c>
      <c r="C20" s="83">
        <f>AVERAGE(Table2[Salary])</f>
        <v>38833.333333333336</v>
      </c>
    </row>
    <row r="22" spans="2:3" ht="18.75" x14ac:dyDescent="0.3">
      <c r="B22" s="66" t="s">
        <v>222</v>
      </c>
      <c r="C22" s="66">
        <f>COUNTA(Table2[Employee Name])</f>
        <v>6</v>
      </c>
    </row>
  </sheetData>
  <mergeCells count="2">
    <mergeCell ref="B1:E1"/>
    <mergeCell ref="J5:N8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97149-E383-4970-9869-53AE55BD1C72}">
  <dimension ref="A5:M10"/>
  <sheetViews>
    <sheetView workbookViewId="0">
      <selection activeCell="G21" sqref="A1:XFD1048576"/>
    </sheetView>
  </sheetViews>
  <sheetFormatPr defaultRowHeight="15" x14ac:dyDescent="0.25"/>
  <cols>
    <col min="1" max="1" width="22.140625" bestFit="1" customWidth="1"/>
    <col min="2" max="6" width="12.28515625" bestFit="1" customWidth="1"/>
    <col min="7" max="8" width="12.28515625" customWidth="1"/>
  </cols>
  <sheetData>
    <row r="5" spans="1:13" ht="18" thickBot="1" x14ac:dyDescent="0.3">
      <c r="A5" s="68" t="s">
        <v>164</v>
      </c>
      <c r="B5" s="69" t="s">
        <v>223</v>
      </c>
      <c r="C5" s="69" t="s">
        <v>224</v>
      </c>
      <c r="D5" s="69" t="s">
        <v>225</v>
      </c>
      <c r="E5" s="69" t="s">
        <v>226</v>
      </c>
      <c r="F5" s="70" t="s">
        <v>227</v>
      </c>
      <c r="G5" s="69" t="s">
        <v>240</v>
      </c>
      <c r="H5" s="69" t="s">
        <v>241</v>
      </c>
      <c r="K5" s="100" t="s">
        <v>230</v>
      </c>
      <c r="L5" s="101"/>
      <c r="M5" s="101"/>
    </row>
    <row r="6" spans="1:13" ht="18" thickBot="1" x14ac:dyDescent="0.3">
      <c r="A6" s="84" t="s">
        <v>169</v>
      </c>
      <c r="B6" s="85" t="s">
        <v>228</v>
      </c>
      <c r="C6" s="85" t="s">
        <v>229</v>
      </c>
      <c r="D6" s="85" t="s">
        <v>228</v>
      </c>
      <c r="E6" s="85" t="s">
        <v>228</v>
      </c>
      <c r="F6" s="86" t="s">
        <v>228</v>
      </c>
      <c r="G6" s="90">
        <f>COUNTIF(Table6[[#This Row],[Day 1]:[Day 5]],Table6[[#This Row],[Day 1]])</f>
        <v>4</v>
      </c>
      <c r="H6" s="90">
        <f>COUNTIF(Table6[[#This Row],[Day 1]:[Present]],Table6[[#This Row],[Day 2]])</f>
        <v>1</v>
      </c>
      <c r="K6" s="101"/>
      <c r="L6" s="101"/>
      <c r="M6" s="101"/>
    </row>
    <row r="7" spans="1:13" ht="18" thickBot="1" x14ac:dyDescent="0.3">
      <c r="A7" s="84" t="s">
        <v>170</v>
      </c>
      <c r="B7" s="85" t="s">
        <v>228</v>
      </c>
      <c r="C7" s="85" t="s">
        <v>228</v>
      </c>
      <c r="D7" s="85" t="s">
        <v>228</v>
      </c>
      <c r="E7" s="85" t="s">
        <v>229</v>
      </c>
      <c r="F7" s="86" t="s">
        <v>228</v>
      </c>
      <c r="G7" s="85">
        <f>COUNTIF(Table6[[#This Row],[Day 1]:[Day 5]],Table6[[#This Row],[Day 1]])</f>
        <v>4</v>
      </c>
      <c r="H7" s="85">
        <f>COUNTIF(Table6[[#This Row],[Day 1]:[Present]],Table6[[#This Row],[Day 2]])</f>
        <v>4</v>
      </c>
      <c r="K7" s="101"/>
      <c r="L7" s="101"/>
      <c r="M7" s="101"/>
    </row>
    <row r="8" spans="1:13" ht="18" thickBot="1" x14ac:dyDescent="0.3">
      <c r="A8" s="84" t="s">
        <v>171</v>
      </c>
      <c r="B8" s="85" t="s">
        <v>229</v>
      </c>
      <c r="C8" s="85" t="s">
        <v>228</v>
      </c>
      <c r="D8" s="85" t="s">
        <v>228</v>
      </c>
      <c r="E8" s="85" t="s">
        <v>228</v>
      </c>
      <c r="F8" s="86" t="s">
        <v>228</v>
      </c>
      <c r="G8" s="85">
        <f>COUNTIF(Table6[[#This Row],[Day 1]:[Day 5]],Table6[[#This Row],[Day 1]])</f>
        <v>1</v>
      </c>
      <c r="H8" s="85">
        <f>COUNTIF(Table6[[#This Row],[Day 1]:[Present]],Table6[[#This Row],[Day 2]])</f>
        <v>4</v>
      </c>
    </row>
    <row r="9" spans="1:13" ht="18.75" x14ac:dyDescent="0.3">
      <c r="A9" s="87" t="s">
        <v>172</v>
      </c>
      <c r="B9" s="88" t="s">
        <v>228</v>
      </c>
      <c r="C9" s="88" t="s">
        <v>229</v>
      </c>
      <c r="D9" s="88" t="s">
        <v>229</v>
      </c>
      <c r="E9" s="88" t="s">
        <v>228</v>
      </c>
      <c r="F9" s="89" t="s">
        <v>229</v>
      </c>
      <c r="G9" s="88">
        <f>COUNTIF(Table6[[#This Row],[Day 1]:[Day 5]],Table6[[#This Row],[Day 1]])</f>
        <v>2</v>
      </c>
      <c r="H9" s="88">
        <f>COUNTIF(Table6[[#This Row],[Day 1]:[Present]],Table6[[#This Row],[Day 2]])</f>
        <v>3</v>
      </c>
      <c r="K9" s="109" t="s">
        <v>231</v>
      </c>
      <c r="L9" s="109"/>
      <c r="M9" s="109"/>
    </row>
    <row r="10" spans="1:13" ht="18.75" x14ac:dyDescent="0.3">
      <c r="K10" s="109" t="s">
        <v>232</v>
      </c>
      <c r="L10" s="109"/>
      <c r="M10" s="109"/>
    </row>
  </sheetData>
  <mergeCells count="3">
    <mergeCell ref="K5:M7"/>
    <mergeCell ref="K9:M9"/>
    <mergeCell ref="K10:M10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77871-0D70-49E6-87A1-79D32BCFD78F}">
  <dimension ref="A5:O28"/>
  <sheetViews>
    <sheetView zoomScale="70" zoomScaleNormal="70" workbookViewId="0">
      <selection activeCell="M20" sqref="M20"/>
    </sheetView>
  </sheetViews>
  <sheetFormatPr defaultRowHeight="15" x14ac:dyDescent="0.25"/>
  <cols>
    <col min="1" max="1" width="26.7109375" customWidth="1"/>
    <col min="2" max="2" width="45.85546875" customWidth="1"/>
  </cols>
  <sheetData>
    <row r="5" spans="1:15" ht="26.25" thickBot="1" x14ac:dyDescent="0.3">
      <c r="A5" s="78" t="s">
        <v>233</v>
      </c>
      <c r="B5" s="79" t="s">
        <v>140</v>
      </c>
      <c r="L5" s="110" t="s">
        <v>242</v>
      </c>
      <c r="M5" s="111"/>
      <c r="N5" s="111"/>
    </row>
    <row r="6" spans="1:15" ht="26.25" thickBot="1" x14ac:dyDescent="0.3">
      <c r="A6" s="91" t="s">
        <v>234</v>
      </c>
      <c r="B6" s="92">
        <v>4500</v>
      </c>
      <c r="L6" s="111"/>
      <c r="M6" s="111"/>
      <c r="N6" s="111"/>
    </row>
    <row r="7" spans="1:15" ht="26.25" thickBot="1" x14ac:dyDescent="0.3">
      <c r="A7" s="91" t="s">
        <v>235</v>
      </c>
      <c r="B7" s="92">
        <v>12000</v>
      </c>
      <c r="L7" s="111"/>
      <c r="M7" s="111"/>
      <c r="N7" s="111"/>
    </row>
    <row r="8" spans="1:15" ht="26.25" thickBot="1" x14ac:dyDescent="0.3">
      <c r="A8" s="91" t="s">
        <v>236</v>
      </c>
      <c r="B8" s="92">
        <v>8000</v>
      </c>
    </row>
    <row r="9" spans="1:15" ht="26.25" thickBot="1" x14ac:dyDescent="0.3">
      <c r="A9" s="91" t="s">
        <v>237</v>
      </c>
      <c r="B9" s="92">
        <v>25000</v>
      </c>
      <c r="J9" s="112" t="s">
        <v>261</v>
      </c>
      <c r="K9" s="112"/>
      <c r="L9" s="112"/>
      <c r="M9" s="112"/>
      <c r="N9" s="112">
        <f>COUNTIF(Table7[Sales Amount],"&gt;10000")</f>
        <v>14</v>
      </c>
      <c r="O9" s="112"/>
    </row>
    <row r="10" spans="1:15" ht="26.25" thickBot="1" x14ac:dyDescent="0.3">
      <c r="A10" s="91" t="s">
        <v>238</v>
      </c>
      <c r="B10" s="92">
        <v>3000</v>
      </c>
      <c r="J10" s="112"/>
      <c r="K10" s="112"/>
      <c r="L10" s="112"/>
      <c r="M10" s="112"/>
      <c r="N10" s="112"/>
      <c r="O10" s="112"/>
    </row>
    <row r="11" spans="1:15" ht="26.25" thickBot="1" x14ac:dyDescent="0.3">
      <c r="A11" s="93" t="s">
        <v>239</v>
      </c>
      <c r="B11" s="94">
        <v>15000</v>
      </c>
      <c r="J11" s="30"/>
      <c r="K11" s="30"/>
      <c r="L11" s="30"/>
      <c r="M11" s="30"/>
      <c r="N11" s="30"/>
      <c r="O11" s="30"/>
    </row>
    <row r="12" spans="1:15" ht="26.25" thickBot="1" x14ac:dyDescent="0.3">
      <c r="A12" s="91" t="s">
        <v>243</v>
      </c>
      <c r="B12" s="92">
        <v>16889</v>
      </c>
      <c r="J12" s="112" t="s">
        <v>260</v>
      </c>
      <c r="K12" s="112"/>
      <c r="L12" s="112"/>
      <c r="M12" s="112"/>
      <c r="N12" s="112">
        <f>COUNTIF(Table7[Sales Amount],"&lt;5000")</f>
        <v>3</v>
      </c>
      <c r="O12" s="112"/>
    </row>
    <row r="13" spans="1:15" ht="26.25" thickBot="1" x14ac:dyDescent="0.3">
      <c r="A13" s="91" t="s">
        <v>244</v>
      </c>
      <c r="B13" s="92">
        <v>17693</v>
      </c>
      <c r="J13" s="112"/>
      <c r="K13" s="112"/>
      <c r="L13" s="112"/>
      <c r="M13" s="112"/>
      <c r="N13" s="112"/>
      <c r="O13" s="112"/>
    </row>
    <row r="14" spans="1:15" ht="26.25" thickBot="1" x14ac:dyDescent="0.3">
      <c r="A14" s="91" t="s">
        <v>245</v>
      </c>
      <c r="B14" s="92">
        <v>12972</v>
      </c>
    </row>
    <row r="15" spans="1:15" ht="26.25" thickBot="1" x14ac:dyDescent="0.3">
      <c r="A15" s="91" t="s">
        <v>246</v>
      </c>
      <c r="B15" s="92">
        <v>5059</v>
      </c>
    </row>
    <row r="16" spans="1:15" ht="26.25" thickBot="1" x14ac:dyDescent="0.3">
      <c r="A16" s="91" t="s">
        <v>247</v>
      </c>
      <c r="B16" s="92">
        <v>12671</v>
      </c>
    </row>
    <row r="17" spans="1:2" ht="26.25" thickBot="1" x14ac:dyDescent="0.3">
      <c r="A17" s="93" t="s">
        <v>248</v>
      </c>
      <c r="B17" s="92">
        <v>17613</v>
      </c>
    </row>
    <row r="18" spans="1:2" ht="26.25" thickBot="1" x14ac:dyDescent="0.3">
      <c r="A18" s="91" t="s">
        <v>249</v>
      </c>
      <c r="B18" s="92">
        <v>19518</v>
      </c>
    </row>
    <row r="19" spans="1:2" ht="26.25" thickBot="1" x14ac:dyDescent="0.3">
      <c r="A19" s="91" t="s">
        <v>250</v>
      </c>
      <c r="B19" s="92">
        <v>17721</v>
      </c>
    </row>
    <row r="20" spans="1:2" ht="26.25" thickBot="1" x14ac:dyDescent="0.3">
      <c r="A20" s="91" t="s">
        <v>251</v>
      </c>
      <c r="B20" s="92">
        <v>16599</v>
      </c>
    </row>
    <row r="21" spans="1:2" ht="26.25" thickBot="1" x14ac:dyDescent="0.3">
      <c r="A21" s="91" t="s">
        <v>252</v>
      </c>
      <c r="B21" s="92">
        <v>14952</v>
      </c>
    </row>
    <row r="22" spans="1:2" ht="26.25" thickBot="1" x14ac:dyDescent="0.3">
      <c r="A22" s="91" t="s">
        <v>253</v>
      </c>
      <c r="B22" s="92">
        <v>9678</v>
      </c>
    </row>
    <row r="23" spans="1:2" ht="26.25" thickBot="1" x14ac:dyDescent="0.3">
      <c r="A23" s="93" t="s">
        <v>254</v>
      </c>
      <c r="B23" s="92">
        <v>9739</v>
      </c>
    </row>
    <row r="24" spans="1:2" ht="26.25" thickBot="1" x14ac:dyDescent="0.3">
      <c r="A24" s="91" t="s">
        <v>255</v>
      </c>
      <c r="B24" s="92">
        <v>10543</v>
      </c>
    </row>
    <row r="25" spans="1:2" ht="26.25" thickBot="1" x14ac:dyDescent="0.3">
      <c r="A25" s="91" t="s">
        <v>256</v>
      </c>
      <c r="B25" s="92">
        <v>15534</v>
      </c>
    </row>
    <row r="26" spans="1:2" ht="26.25" thickBot="1" x14ac:dyDescent="0.3">
      <c r="A26" s="91" t="s">
        <v>257</v>
      </c>
      <c r="B26" s="92">
        <v>5135</v>
      </c>
    </row>
    <row r="27" spans="1:2" ht="26.25" thickBot="1" x14ac:dyDescent="0.3">
      <c r="A27" s="91" t="s">
        <v>258</v>
      </c>
      <c r="B27" s="92">
        <v>9395</v>
      </c>
    </row>
    <row r="28" spans="1:2" ht="26.25" thickBot="1" x14ac:dyDescent="0.3">
      <c r="A28" s="91" t="s">
        <v>259</v>
      </c>
      <c r="B28" s="92">
        <v>2265</v>
      </c>
    </row>
  </sheetData>
  <mergeCells count="5">
    <mergeCell ref="L5:N7"/>
    <mergeCell ref="N9:O10"/>
    <mergeCell ref="N12:O13"/>
    <mergeCell ref="J9:M10"/>
    <mergeCell ref="J12:M13"/>
  </mergeCells>
  <phoneticPr fontId="15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4AB60-337F-4384-B08C-C78BB45E6999}">
  <dimension ref="A5:M10"/>
  <sheetViews>
    <sheetView workbookViewId="0">
      <selection activeCell="F18" sqref="A1:XFD1048576"/>
    </sheetView>
  </sheetViews>
  <sheetFormatPr defaultRowHeight="15" x14ac:dyDescent="0.25"/>
  <cols>
    <col min="1" max="1" width="14.5703125" bestFit="1" customWidth="1"/>
    <col min="2" max="2" width="21.42578125" bestFit="1" customWidth="1"/>
  </cols>
  <sheetData>
    <row r="5" spans="1:13" ht="18" thickBot="1" x14ac:dyDescent="0.3">
      <c r="A5" s="68" t="s">
        <v>262</v>
      </c>
      <c r="B5" s="70" t="s">
        <v>140</v>
      </c>
      <c r="J5" s="100" t="s">
        <v>268</v>
      </c>
      <c r="K5" s="101"/>
      <c r="L5" s="101"/>
      <c r="M5" s="101"/>
    </row>
    <row r="6" spans="1:13" ht="18" thickBot="1" x14ac:dyDescent="0.3">
      <c r="A6" s="84" t="s">
        <v>263</v>
      </c>
      <c r="B6" s="86">
        <v>22000</v>
      </c>
      <c r="J6" s="101"/>
      <c r="K6" s="101"/>
      <c r="L6" s="101"/>
      <c r="M6" s="101"/>
    </row>
    <row r="7" spans="1:13" ht="18" thickBot="1" x14ac:dyDescent="0.3">
      <c r="A7" s="84" t="s">
        <v>264</v>
      </c>
      <c r="B7" s="86">
        <v>3500</v>
      </c>
      <c r="J7" s="101"/>
      <c r="K7" s="101"/>
      <c r="L7" s="101"/>
      <c r="M7" s="101"/>
    </row>
    <row r="8" spans="1:13" ht="18" thickBot="1" x14ac:dyDescent="0.3">
      <c r="A8" s="84" t="s">
        <v>265</v>
      </c>
      <c r="B8" s="86">
        <v>58000</v>
      </c>
      <c r="J8" s="101"/>
      <c r="K8" s="101"/>
      <c r="L8" s="101"/>
      <c r="M8" s="101"/>
    </row>
    <row r="9" spans="1:13" ht="18" thickBot="1" x14ac:dyDescent="0.3">
      <c r="A9" s="84" t="s">
        <v>266</v>
      </c>
      <c r="B9" s="86">
        <v>1800</v>
      </c>
      <c r="J9" s="101"/>
      <c r="K9" s="101"/>
      <c r="L9" s="101"/>
      <c r="M9" s="101"/>
    </row>
    <row r="10" spans="1:13" ht="17.25" x14ac:dyDescent="0.25">
      <c r="A10" s="87" t="s">
        <v>267</v>
      </c>
      <c r="B10" s="89">
        <v>12000</v>
      </c>
    </row>
  </sheetData>
  <mergeCells count="1">
    <mergeCell ref="J5:M9"/>
  </mergeCells>
  <conditionalFormatting sqref="B6:B10">
    <cfRule type="cellIs" dxfId="28" priority="2" operator="greaterThan">
      <formula>20000</formula>
    </cfRule>
    <cfRule type="cellIs" dxfId="27" priority="1" operator="lessThan">
      <formula>5000</formula>
    </cfRule>
  </conditionalFormatting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96E9F-754F-4758-A1B7-148C95710B94}">
  <dimension ref="A5:N14"/>
  <sheetViews>
    <sheetView tabSelected="1" workbookViewId="0">
      <selection activeCell="J13" sqref="J13"/>
    </sheetView>
  </sheetViews>
  <sheetFormatPr defaultRowHeight="15" x14ac:dyDescent="0.25"/>
  <cols>
    <col min="1" max="1" width="11.5703125" customWidth="1"/>
    <col min="2" max="2" width="9.7109375" customWidth="1"/>
    <col min="3" max="3" width="10" customWidth="1"/>
  </cols>
  <sheetData>
    <row r="5" spans="1:14" ht="18" thickBot="1" x14ac:dyDescent="0.3">
      <c r="A5" s="68" t="s">
        <v>163</v>
      </c>
      <c r="B5" s="69" t="s">
        <v>0</v>
      </c>
      <c r="C5" s="70" t="s">
        <v>269</v>
      </c>
      <c r="K5" s="100" t="s">
        <v>274</v>
      </c>
      <c r="L5" s="101"/>
      <c r="M5" s="101"/>
      <c r="N5" s="101"/>
    </row>
    <row r="6" spans="1:14" ht="18" thickBot="1" x14ac:dyDescent="0.3">
      <c r="A6" s="84">
        <v>1</v>
      </c>
      <c r="B6" s="85" t="s">
        <v>219</v>
      </c>
      <c r="C6" s="86">
        <v>85</v>
      </c>
      <c r="K6" s="101"/>
      <c r="L6" s="101"/>
      <c r="M6" s="101"/>
      <c r="N6" s="101"/>
    </row>
    <row r="7" spans="1:14" ht="18" thickBot="1" x14ac:dyDescent="0.3">
      <c r="A7" s="84">
        <v>2</v>
      </c>
      <c r="B7" s="85" t="s">
        <v>270</v>
      </c>
      <c r="C7" s="86">
        <v>72</v>
      </c>
      <c r="K7" s="101"/>
      <c r="L7" s="101"/>
      <c r="M7" s="101"/>
      <c r="N7" s="101"/>
    </row>
    <row r="8" spans="1:14" ht="18" thickBot="1" x14ac:dyDescent="0.3">
      <c r="A8" s="84">
        <v>3</v>
      </c>
      <c r="B8" s="85" t="s">
        <v>271</v>
      </c>
      <c r="C8" s="86">
        <v>39</v>
      </c>
      <c r="K8" s="101"/>
      <c r="L8" s="101"/>
      <c r="M8" s="101"/>
      <c r="N8" s="101"/>
    </row>
    <row r="9" spans="1:14" ht="18" thickBot="1" x14ac:dyDescent="0.3">
      <c r="A9" s="84">
        <v>4</v>
      </c>
      <c r="B9" s="85" t="s">
        <v>272</v>
      </c>
      <c r="C9" s="86">
        <v>91</v>
      </c>
      <c r="K9" s="101"/>
      <c r="L9" s="101"/>
      <c r="M9" s="101"/>
      <c r="N9" s="101"/>
    </row>
    <row r="10" spans="1:14" ht="17.25" x14ac:dyDescent="0.25">
      <c r="A10" s="87">
        <v>5</v>
      </c>
      <c r="B10" s="88" t="s">
        <v>273</v>
      </c>
      <c r="C10" s="89">
        <v>28</v>
      </c>
      <c r="K10" s="101"/>
      <c r="L10" s="101"/>
      <c r="M10" s="101"/>
      <c r="N10" s="101"/>
    </row>
    <row r="14" spans="1:14" x14ac:dyDescent="0.25">
      <c r="M14" s="80"/>
    </row>
  </sheetData>
  <mergeCells count="1">
    <mergeCell ref="K5:N10"/>
  </mergeCells>
  <conditionalFormatting sqref="C6:C10">
    <cfRule type="cellIs" dxfId="19" priority="2" operator="greaterThanOrEqual">
      <formula>75</formula>
    </cfRule>
    <cfRule type="cellIs" dxfId="18" priority="1" operator="lessThan">
      <formula>40</formula>
    </cfRule>
  </conditionalFormatting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7FF6C-29C6-4760-BC7C-2D775C56E8BA}">
  <dimension ref="A5:L10"/>
  <sheetViews>
    <sheetView workbookViewId="0">
      <selection activeCell="G29" sqref="A1:XFD1048576"/>
    </sheetView>
  </sheetViews>
  <sheetFormatPr defaultRowHeight="15" x14ac:dyDescent="0.25"/>
  <cols>
    <col min="1" max="1" width="21.28515625" customWidth="1"/>
    <col min="2" max="2" width="10.140625" customWidth="1"/>
  </cols>
  <sheetData>
    <row r="5" spans="1:12" ht="18" thickBot="1" x14ac:dyDescent="0.3">
      <c r="A5" s="68" t="s">
        <v>214</v>
      </c>
      <c r="B5" s="70" t="s">
        <v>34</v>
      </c>
      <c r="J5" s="100" t="s">
        <v>280</v>
      </c>
      <c r="K5" s="101"/>
      <c r="L5" s="101"/>
    </row>
    <row r="6" spans="1:12" ht="18" thickBot="1" x14ac:dyDescent="0.3">
      <c r="A6" s="84" t="s">
        <v>275</v>
      </c>
      <c r="B6" s="86">
        <v>28000</v>
      </c>
      <c r="J6" s="101"/>
      <c r="K6" s="101"/>
      <c r="L6" s="101"/>
    </row>
    <row r="7" spans="1:12" ht="18" thickBot="1" x14ac:dyDescent="0.3">
      <c r="A7" s="84" t="s">
        <v>276</v>
      </c>
      <c r="B7" s="86">
        <v>34000</v>
      </c>
      <c r="J7" s="101"/>
      <c r="K7" s="101"/>
      <c r="L7" s="101"/>
    </row>
    <row r="8" spans="1:12" ht="18" thickBot="1" x14ac:dyDescent="0.3">
      <c r="A8" s="84" t="s">
        <v>277</v>
      </c>
      <c r="B8" s="86">
        <v>51000</v>
      </c>
      <c r="J8" s="101"/>
      <c r="K8" s="101"/>
      <c r="L8" s="101"/>
    </row>
    <row r="9" spans="1:12" ht="18" thickBot="1" x14ac:dyDescent="0.3">
      <c r="A9" s="84" t="s">
        <v>278</v>
      </c>
      <c r="B9" s="86">
        <v>47000</v>
      </c>
      <c r="J9" s="101"/>
      <c r="K9" s="101"/>
      <c r="L9" s="101"/>
    </row>
    <row r="10" spans="1:12" ht="17.25" x14ac:dyDescent="0.25">
      <c r="A10" s="87" t="s">
        <v>279</v>
      </c>
      <c r="B10" s="89">
        <v>29000</v>
      </c>
      <c r="J10" s="101"/>
      <c r="K10" s="101"/>
      <c r="L10" s="101"/>
    </row>
  </sheetData>
  <mergeCells count="1">
    <mergeCell ref="J5:L10"/>
  </mergeCells>
  <conditionalFormatting sqref="B6:B10">
    <cfRule type="cellIs" dxfId="9" priority="3" operator="greaterThanOrEqual">
      <formula>50000</formula>
    </cfRule>
    <cfRule type="cellIs" dxfId="8" priority="2" operator="between">
      <formula>30000</formula>
      <formula>49999</formula>
    </cfRule>
    <cfRule type="cellIs" dxfId="7" priority="1" operator="lessThan">
      <formula>30000</formula>
    </cfRule>
  </conditionalFormatting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D4C7C-5F72-4818-B144-FDF9DCBDD2D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Data Entry</vt:lpstr>
      <vt:lpstr>Split</vt:lpstr>
      <vt:lpstr>Task3</vt:lpstr>
      <vt:lpstr>Employee Sheet</vt:lpstr>
      <vt:lpstr>Sales Report</vt:lpstr>
      <vt:lpstr>Student Marks Sheet</vt:lpstr>
      <vt:lpstr>Sales Summary</vt:lpstr>
      <vt:lpstr>Department-wise Salary Analysis</vt:lpstr>
      <vt:lpstr> Attendance Sheet – COUNTIF</vt:lpstr>
      <vt:lpstr>Sales Count Logic</vt:lpstr>
      <vt:lpstr>Conditional Formatting – Sales</vt:lpstr>
      <vt:lpstr>Student Result Highlight</vt:lpstr>
      <vt:lpstr>Salary Band – Conditional Forma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ASDC11</dc:creator>
  <cp:lastModifiedBy>ASDC11</cp:lastModifiedBy>
  <dcterms:created xsi:type="dcterms:W3CDTF">2026-01-18T05:40:42Z</dcterms:created>
  <dcterms:modified xsi:type="dcterms:W3CDTF">2026-01-25T07:38:29Z</dcterms:modified>
</cp:coreProperties>
</file>