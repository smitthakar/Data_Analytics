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11\Desktop\smit\Data_Analytics\"/>
    </mc:Choice>
  </mc:AlternateContent>
  <xr:revisionPtr revIDLastSave="0" documentId="8_{6C6FC9DA-5D5D-4C1F-90D1-978B9FD4F9E2}" xr6:coauthVersionLast="47" xr6:coauthVersionMax="47" xr10:uidLastSave="{00000000-0000-0000-0000-000000000000}"/>
  <bookViews>
    <workbookView xWindow="-120" yWindow="-120" windowWidth="29040" windowHeight="15720" xr2:uid="{174E6243-5B42-4101-9076-EB3932145E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1" l="1"/>
  <c r="C23" i="1"/>
  <c r="D23" i="1"/>
  <c r="E23" i="1"/>
  <c r="F23" i="1"/>
  <c r="B23" i="1"/>
  <c r="D12" i="1"/>
  <c r="D5" i="1"/>
  <c r="D6" i="1"/>
  <c r="D7" i="1"/>
  <c r="D8" i="1"/>
  <c r="D4" i="1"/>
</calcChain>
</file>

<file path=xl/sharedStrings.xml><?xml version="1.0" encoding="utf-8"?>
<sst xmlns="http://schemas.openxmlformats.org/spreadsheetml/2006/main" count="24" uniqueCount="12">
  <si>
    <t>Student Name</t>
  </si>
  <si>
    <t>Marks</t>
  </si>
  <si>
    <t>Result</t>
  </si>
  <si>
    <t>Aman</t>
  </si>
  <si>
    <t>Bharti</t>
  </si>
  <si>
    <t>Rohan</t>
  </si>
  <si>
    <t>Deepa</t>
  </si>
  <si>
    <t>Farhan</t>
  </si>
  <si>
    <t>Roll No</t>
  </si>
  <si>
    <t>If Marks ≥ 40 → Pass
Else → Fail</t>
  </si>
  <si>
    <t xml:space="preserve">Student Name </t>
  </si>
  <si>
    <t xml:space="preserve">Result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</si>
</sst>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Segoe UI"/>
      <family val="2"/>
    </font>
    <font>
      <sz val="12"/>
      <color theme="1" tint="4.9989318521683403E-2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 style="medium">
        <color rgb="FF3D444D"/>
      </bottom>
      <diagonal/>
    </border>
    <border>
      <left/>
      <right style="medium">
        <color rgb="FF3D444D"/>
      </right>
      <top style="medium">
        <color rgb="FF3D444D"/>
      </top>
      <bottom style="medium">
        <color rgb="FF3D444D"/>
      </bottom>
      <diagonal/>
    </border>
    <border>
      <left style="medium">
        <color rgb="FF3D444D"/>
      </left>
      <right/>
      <top style="medium">
        <color rgb="FF3D444D"/>
      </top>
      <bottom style="medium">
        <color rgb="FF3D444D"/>
      </bottom>
      <diagonal/>
    </border>
    <border>
      <left/>
      <right style="medium">
        <color rgb="FF3D444D"/>
      </right>
      <top/>
      <bottom style="medium">
        <color rgb="FF3D444D"/>
      </bottom>
      <diagonal/>
    </border>
    <border>
      <left style="medium">
        <color rgb="FF3D444D"/>
      </left>
      <right style="medium">
        <color rgb="FF3D444D"/>
      </right>
      <top/>
      <bottom style="medium">
        <color rgb="FF3D444D"/>
      </bottom>
      <diagonal/>
    </border>
    <border>
      <left style="medium">
        <color rgb="FF3D444D"/>
      </left>
      <right/>
      <top/>
      <bottom style="medium">
        <color rgb="FF3D444D"/>
      </bottom>
      <diagonal/>
    </border>
    <border>
      <left/>
      <right style="medium">
        <color rgb="FF3D444D"/>
      </right>
      <top style="medium">
        <color rgb="FF3D444D"/>
      </top>
      <bottom/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2" xfId="0" applyFont="1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left" vertical="center" wrapText="1" indent="1"/>
    </xf>
    <xf numFmtId="0" fontId="1" fillId="2" borderId="3" xfId="0" applyFont="1" applyFill="1" applyBorder="1" applyAlignment="1">
      <alignment horizontal="left" vertical="center" wrapText="1" indent="1"/>
    </xf>
    <xf numFmtId="0" fontId="1" fillId="2" borderId="7" xfId="0" applyFont="1" applyFill="1" applyBorder="1" applyAlignment="1">
      <alignment horizontal="left" vertical="center" wrapText="1" indent="1"/>
    </xf>
    <xf numFmtId="0" fontId="1" fillId="2" borderId="8" xfId="0" applyFont="1" applyFill="1" applyBorder="1" applyAlignment="1">
      <alignment horizontal="left" vertical="center" wrapText="1" inden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2B1F6F-6508-4D98-B90D-3D38B985C208}" name="Table1" displayName="Table1" ref="A3:D8" totalsRowShown="0" headerRowDxfId="2" dataDxfId="3" headerRowBorderDxfId="7" tableBorderDxfId="8" totalsRowBorderDxfId="6">
  <autoFilter ref="A3:D8" xr:uid="{F52B1F6F-6508-4D98-B90D-3D38B985C208}"/>
  <tableColumns count="4">
    <tableColumn id="1" xr3:uid="{DD1843F0-2016-481C-AF25-99F282FD751C}" name="Roll No" dataDxfId="5"/>
    <tableColumn id="2" xr3:uid="{11D536A0-080C-494C-B9FF-0273892CEA5F}" name="Student Name" dataDxfId="0"/>
    <tableColumn id="3" xr3:uid="{6F0792CF-11B9-4B4F-97C5-4B76ECBFA425}" name="Marks" dataDxfId="4"/>
    <tableColumn id="4" xr3:uid="{83DD8E2F-E33F-4416-93D5-81717CD143AE}" name="Result" dataDxfId="1">
      <calculatedColumnFormula>IF(Table1[[#This Row],[Marks]]&gt;=40,"Pass","Fail")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A88DF-2307-4BDF-8B1D-60018EBC1791}">
  <dimension ref="A3:N27"/>
  <sheetViews>
    <sheetView tabSelected="1" workbookViewId="0">
      <selection activeCell="D27" sqref="D27"/>
    </sheetView>
  </sheetViews>
  <sheetFormatPr defaultRowHeight="15" x14ac:dyDescent="0.25"/>
  <cols>
    <col min="1" max="1" width="14.28515625" bestFit="1" customWidth="1"/>
    <col min="2" max="2" width="22.140625" bestFit="1" customWidth="1"/>
    <col min="3" max="3" width="18.28515625" customWidth="1"/>
    <col min="4" max="4" width="12.85546875" bestFit="1" customWidth="1"/>
    <col min="5" max="6" width="11.28515625" bestFit="1" customWidth="1"/>
  </cols>
  <sheetData>
    <row r="3" spans="1:14" ht="18" thickBot="1" x14ac:dyDescent="0.3">
      <c r="A3" s="6" t="s">
        <v>8</v>
      </c>
      <c r="B3" s="7" t="s">
        <v>0</v>
      </c>
      <c r="C3" s="7" t="s">
        <v>1</v>
      </c>
      <c r="D3" s="8" t="s">
        <v>2</v>
      </c>
    </row>
    <row r="4" spans="1:14" ht="18" thickBot="1" x14ac:dyDescent="0.3">
      <c r="A4" s="1">
        <v>1</v>
      </c>
      <c r="B4" s="2" t="s">
        <v>3</v>
      </c>
      <c r="C4" s="2">
        <v>82</v>
      </c>
      <c r="D4" s="3" t="str">
        <f>IF(Table1[[#This Row],[Marks]]&gt;=40,"Pass","Fail")</f>
        <v>Pass</v>
      </c>
      <c r="L4" s="9" t="s">
        <v>9</v>
      </c>
      <c r="M4" s="10"/>
      <c r="N4" s="10"/>
    </row>
    <row r="5" spans="1:14" ht="18" thickBot="1" x14ac:dyDescent="0.3">
      <c r="A5" s="1">
        <v>2</v>
      </c>
      <c r="B5" s="2" t="s">
        <v>4</v>
      </c>
      <c r="C5" s="2">
        <v>35</v>
      </c>
      <c r="D5" s="3" t="str">
        <f>IF(Table1[[#This Row],[Marks]]&gt;=40,"Pass","Fail")</f>
        <v>Fail</v>
      </c>
      <c r="L5" s="10"/>
      <c r="M5" s="10"/>
      <c r="N5" s="10"/>
    </row>
    <row r="6" spans="1:14" ht="18" thickBot="1" x14ac:dyDescent="0.3">
      <c r="A6" s="1">
        <v>3</v>
      </c>
      <c r="B6" s="2" t="s">
        <v>5</v>
      </c>
      <c r="C6" s="2">
        <v>62</v>
      </c>
      <c r="D6" s="3" t="str">
        <f>IF(Table1[[#This Row],[Marks]]&gt;=40,"Pass","Fail")</f>
        <v>Pass</v>
      </c>
      <c r="L6" s="10"/>
      <c r="M6" s="10"/>
      <c r="N6" s="10"/>
    </row>
    <row r="7" spans="1:14" ht="18" thickBot="1" x14ac:dyDescent="0.3">
      <c r="A7" s="1">
        <v>4</v>
      </c>
      <c r="B7" s="2" t="s">
        <v>6</v>
      </c>
      <c r="C7" s="2">
        <v>40</v>
      </c>
      <c r="D7" s="3" t="str">
        <f>IF(Table1[[#This Row],[Marks]]&gt;=40,"Pass","Fail")</f>
        <v>Pass</v>
      </c>
    </row>
    <row r="8" spans="1:14" ht="18" thickBot="1" x14ac:dyDescent="0.3">
      <c r="A8" s="4">
        <v>5</v>
      </c>
      <c r="B8" s="5" t="s">
        <v>7</v>
      </c>
      <c r="C8" s="5">
        <v>28</v>
      </c>
      <c r="D8" s="3" t="str">
        <f>IF(Table1[[#This Row],[Marks]]&gt;=40,"Pass","Fail")</f>
        <v>Fail</v>
      </c>
    </row>
    <row r="11" spans="1:14" x14ac:dyDescent="0.25">
      <c r="C11" t="s">
        <v>10</v>
      </c>
      <c r="D11" t="s">
        <v>2</v>
      </c>
    </row>
    <row r="12" spans="1:14" x14ac:dyDescent="0.25">
      <c r="C12" t="s">
        <v>7</v>
      </c>
      <c r="D12" t="str">
        <f>VLOOKUP(C12,Table1[[#All],[Student Name]:[Result]],3,0)</f>
        <v>Fail</v>
      </c>
    </row>
    <row r="19" spans="1:6" ht="15.75" thickBot="1" x14ac:dyDescent="0.3"/>
    <row r="20" spans="1:6" ht="18" thickBot="1" x14ac:dyDescent="0.3">
      <c r="A20" s="11" t="s">
        <v>8</v>
      </c>
      <c r="B20" s="2">
        <v>1</v>
      </c>
      <c r="C20" s="2">
        <v>2</v>
      </c>
      <c r="D20" s="2">
        <v>3</v>
      </c>
      <c r="E20" s="2">
        <v>4</v>
      </c>
      <c r="F20" s="2">
        <v>5</v>
      </c>
    </row>
    <row r="21" spans="1:6" ht="35.25" thickBot="1" x14ac:dyDescent="0.3">
      <c r="A21" s="11" t="s">
        <v>0</v>
      </c>
      <c r="B21" s="2" t="s">
        <v>3</v>
      </c>
      <c r="C21" s="2" t="s">
        <v>4</v>
      </c>
      <c r="D21" s="2" t="s">
        <v>5</v>
      </c>
      <c r="E21" s="2" t="s">
        <v>6</v>
      </c>
      <c r="F21" s="2" t="s">
        <v>7</v>
      </c>
    </row>
    <row r="22" spans="1:6" ht="18" thickBot="1" x14ac:dyDescent="0.3">
      <c r="A22" s="11" t="s">
        <v>1</v>
      </c>
      <c r="B22" s="2">
        <v>82</v>
      </c>
      <c r="C22" s="2">
        <v>35</v>
      </c>
      <c r="D22" s="2">
        <v>62</v>
      </c>
      <c r="E22" s="2">
        <v>40</v>
      </c>
      <c r="F22" s="2">
        <v>28</v>
      </c>
    </row>
    <row r="23" spans="1:6" ht="18" thickBot="1" x14ac:dyDescent="0.3">
      <c r="A23" s="11" t="s">
        <v>2</v>
      </c>
      <c r="B23" s="2" t="str">
        <f>IF(B22&gt;=40,"Pass","Fail")</f>
        <v>Pass</v>
      </c>
      <c r="C23" s="2" t="str">
        <f t="shared" ref="C23:F23" si="0">IF(C22&gt;=40,"Pass","Fail")</f>
        <v>Fail</v>
      </c>
      <c r="D23" s="2" t="str">
        <f t="shared" si="0"/>
        <v>Pass</v>
      </c>
      <c r="E23" s="2" t="str">
        <f t="shared" si="0"/>
        <v>Pass</v>
      </c>
      <c r="F23" s="2" t="str">
        <f t="shared" si="0"/>
        <v>Fail</v>
      </c>
    </row>
    <row r="26" spans="1:6" x14ac:dyDescent="0.25">
      <c r="B26" t="s">
        <v>8</v>
      </c>
      <c r="D26" t="s">
        <v>11</v>
      </c>
    </row>
    <row r="27" spans="1:6" x14ac:dyDescent="0.25">
      <c r="B27">
        <v>4</v>
      </c>
      <c r="D27" t="str">
        <f>HLOOKUP(B27,A20:F23,4,0)</f>
        <v>Pass</v>
      </c>
    </row>
  </sheetData>
  <dataConsolidate/>
  <mergeCells count="1">
    <mergeCell ref="L4:N6"/>
  </mergeCells>
  <dataValidations count="1">
    <dataValidation type="list" allowBlank="1" showInputMessage="1" showErrorMessage="1" sqref="C12" xr:uid="{9F07BB16-1DF9-4364-963C-93D664C846BB}">
      <formula1>$B$4:$B$8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ASDC11</dc:creator>
  <cp:lastModifiedBy>ASDC11</cp:lastModifiedBy>
  <dcterms:created xsi:type="dcterms:W3CDTF">2026-01-31T15:47:28Z</dcterms:created>
  <dcterms:modified xsi:type="dcterms:W3CDTF">2026-01-31T16:12:06Z</dcterms:modified>
</cp:coreProperties>
</file>